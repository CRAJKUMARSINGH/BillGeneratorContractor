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2.xml" ContentType="application/vnd.ms-excel.controlpropertie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ALL PWD\"/>
    </mc:Choice>
  </mc:AlternateContent>
  <bookViews>
    <workbookView xWindow="0" yWindow="0" windowWidth="28800" windowHeight="12315" activeTab="2"/>
  </bookViews>
  <sheets>
    <sheet name="ARUN 75 OF 23-24" sheetId="6" r:id="rId1"/>
    <sheet name="MITUL 62 OF 24-25" sheetId="5" r:id="rId2"/>
    <sheet name="SAMYAK 18 Y23-24" sheetId="4" r:id="rId3"/>
  </sheets>
  <definedNames>
    <definedName name="_xlnm.Print_Area" localSheetId="0">'ARUN 75 OF 23-24'!$A$1:$D$52</definedName>
    <definedName name="_xlnm.Print_Area" localSheetId="1">'MITUL 62 OF 24-25'!$A$1:$D$49</definedName>
    <definedName name="_xlnm.Print_Area" localSheetId="2">'SAMYAK 18 Y23-24'!$A$1:$D$51</definedName>
  </definedNames>
  <calcPr calcId="152511"/>
</workbook>
</file>

<file path=xl/calcChain.xml><?xml version="1.0" encoding="utf-8"?>
<calcChain xmlns="http://schemas.openxmlformats.org/spreadsheetml/2006/main">
  <c r="B36" i="6" l="1"/>
  <c r="B35" i="6"/>
  <c r="B34" i="6"/>
  <c r="B33" i="6"/>
  <c r="B38" i="6" s="1"/>
  <c r="B39" i="6" s="1"/>
  <c r="C20" i="6"/>
  <c r="C21" i="6" s="1"/>
  <c r="B36" i="5"/>
  <c r="B35" i="5"/>
  <c r="B34" i="5"/>
  <c r="B33" i="5"/>
  <c r="C20" i="5"/>
  <c r="C21" i="5" s="1"/>
  <c r="B38" i="5" l="1"/>
  <c r="B39" i="5" s="1"/>
  <c r="B36" i="4"/>
  <c r="B35" i="4"/>
  <c r="B34" i="4"/>
  <c r="B33" i="4"/>
  <c r="C20" i="4"/>
  <c r="C21" i="4" s="1"/>
  <c r="B39" i="4" l="1"/>
  <c r="B38" i="4"/>
</calcChain>
</file>

<file path=xl/sharedStrings.xml><?xml version="1.0" encoding="utf-8"?>
<sst xmlns="http://schemas.openxmlformats.org/spreadsheetml/2006/main" count="180" uniqueCount="68">
  <si>
    <t>8443-00-108-00-00</t>
  </si>
  <si>
    <t>Rajsamand</t>
  </si>
  <si>
    <t>E/F Work in District Lab (NABL) at Rajsamand</t>
  </si>
  <si>
    <t>M/s. Arun ElectricalS,  PalI</t>
  </si>
  <si>
    <t>Deposit</t>
  </si>
  <si>
    <t>-------------------</t>
  </si>
  <si>
    <t>(A) Is It a Repair / Maintenance Work</t>
  </si>
  <si>
    <t>Yes</t>
  </si>
  <si>
    <t>(B) Extra Item</t>
  </si>
  <si>
    <t>Amount of Extra Items Rs.</t>
  </si>
  <si>
    <t>(C) Any Excess Item</t>
  </si>
  <si>
    <t>(D) Any Inadvertent Delay in Bill Submission</t>
  </si>
  <si>
    <t>Deductions:-</t>
  </si>
  <si>
    <t>Total</t>
  </si>
  <si>
    <t>Rs.</t>
  </si>
  <si>
    <t>SD @ 10%</t>
  </si>
  <si>
    <t>IT @ 2%</t>
  </si>
  <si>
    <t>GST @ 2%</t>
  </si>
  <si>
    <t>LC @ 1%</t>
  </si>
  <si>
    <t>Dep-V</t>
  </si>
  <si>
    <t>Cheque/Amount</t>
  </si>
  <si>
    <t>19. Prorata Progress on the Work maintained by the Firm</t>
  </si>
  <si>
    <t>21. Date of Checking and % on the Checked By AEN</t>
  </si>
  <si>
    <t>22. No. Of selection item checked by the EE</t>
  </si>
  <si>
    <t>23. Other Inputs</t>
  </si>
  <si>
    <t>Adequate</t>
  </si>
  <si>
    <t>Evident from para 13 and 17 above.</t>
  </si>
  <si>
    <t>No</t>
  </si>
  <si>
    <t>I Running and FINAL BILL  SCRUTINY SHEET</t>
  </si>
  <si>
    <t>1. Budget Head</t>
  </si>
  <si>
    <t>2. Agreement No.</t>
  </si>
  <si>
    <t>3. A&amp;F Sanction</t>
  </si>
  <si>
    <t>4. Technical Section</t>
  </si>
  <si>
    <t>5. MB No. &amp; Page</t>
  </si>
  <si>
    <t>6. Name of Sub Division</t>
  </si>
  <si>
    <t>7. Name of Work</t>
  </si>
  <si>
    <t>8. Name of Contractor</t>
  </si>
  <si>
    <t>9. Original/Deposit</t>
  </si>
  <si>
    <t>10. Budget Provision</t>
  </si>
  <si>
    <t>11. Date of Commencement</t>
  </si>
  <si>
    <t>12. Date of Completion</t>
  </si>
  <si>
    <t>13. Actual date of completion</t>
  </si>
  <si>
    <t>14.   In  case Delay  whether  provisional  extension given</t>
  </si>
  <si>
    <t>15. Whether  any notice issued</t>
  </si>
  <si>
    <t>16. Total  Amount of work order</t>
  </si>
  <si>
    <t>17.A. Sum of payment upto last bill</t>
  </si>
  <si>
    <t xml:space="preserve">      B. Amount of this bill</t>
  </si>
  <si>
    <t xml:space="preserve">      C. Actual expenditure  upto this bill = ( A + B)</t>
  </si>
  <si>
    <t>18. Balance to be done = (16 - 17 C)</t>
  </si>
  <si>
    <t>20. Date on Which record Measurement taken by JEN /AEN</t>
  </si>
  <si>
    <t>887/Page No. 04-20</t>
  </si>
  <si>
    <t>Refer Agreement</t>
  </si>
  <si>
    <t>18/2023-24</t>
  </si>
  <si>
    <t>X and FINAL BILL  SCRUTINY SHEET</t>
  </si>
  <si>
    <t>62/2024-25</t>
  </si>
  <si>
    <t>Supply of Electrician for General Maintenance in Trauma Block &amp; near by Building Udaipur</t>
  </si>
  <si>
    <t>Udaipur</t>
  </si>
  <si>
    <t>813/Page No. 84-85</t>
  </si>
  <si>
    <t xml:space="preserve">M/s. Mitul Enterprises Udaipur
</t>
  </si>
  <si>
    <t>I and FINAL BILL  SCRUTINY SHEET</t>
  </si>
  <si>
    <t>75/2023-24</t>
  </si>
  <si>
    <t>891/Page No. 34-50</t>
  </si>
  <si>
    <t>RAJSAMAND</t>
  </si>
  <si>
    <t xml:space="preserve">M/s. Arun Electricals, pali
</t>
  </si>
  <si>
    <t>E/F work in Govt. school at sinhad, nathdwara, district- Rajsamand</t>
  </si>
  <si>
    <r>
      <t xml:space="preserve">1. The work has been completed 17.61% of the Work Order Amount.
2. The execution of work at final stage is less than 90% of the Work Order Amount, the Requisite Deviation Statement is enclosed to observe check on unuseful expenditure. Approval of the Deviation is having jurisdiction under this office.
3. Time allowed for completion of the work was -288 days. The Work was delayed by 2493 days.
4. Approval of the Time Extension Case is required from the Superintending Engineer, PWD Electrical Circle, Udaipur.
5. The amount of Extra items is Rs. 25 which is 0.44% of the Work Order Amount; under 5%, approval of the same is to be granted by this office.
6. Quality Control (QC) test reports are attached.
7. A copy of Hand Over statement duly signed by client department representative is attached.
8. The bill is submitted for needful decision.
                                        </t>
    </r>
    <r>
      <rPr>
        <b/>
        <sz val="12"/>
        <color theme="1"/>
        <rFont val="Arial"/>
        <family val="2"/>
      </rPr>
      <t>Premlata Jain, AAO</t>
    </r>
  </si>
  <si>
    <r>
      <t xml:space="preserve">1. The work has been completed 77.35% of the Work Order Amount.
2. The execution of work at final stage is less than 90% of the Work Order Amount, the Requisite Deviation Statement is enclosed to observe check on unuseful expenditure. Approval of the Deviation is having jurisdiction under this office.
3. Time allowed for completion of the work was 365 days. The Work was delayed by 170 days.
4. Approval of the Time Extension Case is to be done by this office.
5. The amount of Extra items is Rs. 8195 which is 0.82% of the Work Order Amount; under 5%, approval of the same is to be granted by this office.
6. Quality Control (QC) test reports are attached.
7. A copy of Hand Over statement duly signed by client department representative is attached.
8. The Bill is submitted very late; explanation from concerned Assistant Engineer may be sought.
9. The bill is submitted for needful decision.
                                                                                 </t>
    </r>
    <r>
      <rPr>
        <b/>
        <sz val="12"/>
        <color theme="1"/>
        <rFont val="Arial"/>
        <family val="2"/>
      </rPr>
      <t>Premlata Jain, AAO</t>
    </r>
  </si>
  <si>
    <r>
      <t xml:space="preserve">1. The work has been completed 88.00% of the Work Order Amount.
2. The execution of work at final stage is less than 90% of the Work Order Amount, the Requisite Deviation Statement is enclosed to observe check on unuseful expenditure. Approval of the Deviation is having jurisdiction under this office.
3. Work was completed in time.
4. Quality Control (QC) test reports are attached.
5. A copy of Hand Over statement duly signed by client department representative is attached.
6. The bill is submitted for needful decision.
                                                                                 </t>
    </r>
    <r>
      <rPr>
        <b/>
        <sz val="12"/>
        <color theme="1"/>
        <rFont val="Arial"/>
        <family val="2"/>
      </rPr>
      <t>Premlata Jain, AAO</t>
    </r>
  </si>
</sst>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2"/>
      <color theme="1"/>
      <name val="Bahnschrift"/>
      <family val="2"/>
    </font>
    <font>
      <sz val="12"/>
      <color theme="1"/>
      <name val="Calibri"/>
      <family val="2"/>
      <scheme val="minor"/>
    </font>
    <font>
      <sz val="11"/>
      <color rgb="FF000000"/>
      <name val="Calibri"/>
      <family val="2"/>
    </font>
    <font>
      <b/>
      <sz val="10"/>
      <color theme="1"/>
      <name val="Bahnschrift"/>
      <family val="2"/>
    </font>
    <font>
      <b/>
      <sz val="10"/>
      <color theme="1"/>
      <name val="Calibri"/>
      <family val="2"/>
      <scheme val="minor"/>
    </font>
    <font>
      <sz val="10"/>
      <color theme="1"/>
      <name val="Bahnschrift"/>
      <family val="2"/>
    </font>
    <font>
      <sz val="10"/>
      <color theme="1"/>
      <name val="Calibri"/>
      <family val="2"/>
      <scheme val="minor"/>
    </font>
    <font>
      <sz val="10"/>
      <color rgb="FF000000"/>
      <name val="Arial Rounded MT Bold"/>
      <family val="2"/>
    </font>
    <font>
      <b/>
      <sz val="10"/>
      <color rgb="FF000000"/>
      <name val="Arial Rounded MT Bold"/>
      <family val="2"/>
    </font>
    <font>
      <sz val="11"/>
      <color theme="1"/>
      <name val="Arial"/>
      <family val="2"/>
    </font>
    <font>
      <b/>
      <sz val="12"/>
      <color theme="1"/>
      <name val="Arial"/>
      <family val="2"/>
    </font>
  </fonts>
  <fills count="2">
    <fill>
      <patternFill patternType="none"/>
    </fill>
    <fill>
      <patternFill patternType="gray125"/>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1">
    <xf numFmtId="0" fontId="0" fillId="0" borderId="0"/>
  </cellStyleXfs>
  <cellXfs count="46">
    <xf numFmtId="0" fontId="0" fillId="0" borderId="0" xfId="0"/>
    <xf numFmtId="0" fontId="2" fillId="0" borderId="0" xfId="0" applyFont="1" applyAlignment="1">
      <alignment vertical="top"/>
    </xf>
    <xf numFmtId="0" fontId="7" fillId="0" borderId="0" xfId="0" applyFont="1"/>
    <xf numFmtId="0" fontId="2" fillId="0" borderId="0" xfId="0" applyFont="1" applyAlignment="1">
      <alignment vertical="top" wrapText="1"/>
    </xf>
    <xf numFmtId="0" fontId="2" fillId="0" borderId="0" xfId="0" applyFont="1"/>
    <xf numFmtId="0" fontId="4" fillId="0" borderId="2" xfId="0" applyFont="1" applyFill="1" applyBorder="1" applyAlignment="1">
      <alignment horizontal="right" vertical="top" wrapText="1"/>
    </xf>
    <xf numFmtId="0" fontId="5" fillId="0" borderId="1" xfId="0" applyFont="1" applyFill="1" applyBorder="1" applyAlignment="1">
      <alignment vertical="top"/>
    </xf>
    <xf numFmtId="0" fontId="9" fillId="0" borderId="0" xfId="0" applyFont="1" applyFill="1" applyBorder="1" applyAlignment="1">
      <alignment vertical="top"/>
    </xf>
    <xf numFmtId="0" fontId="8" fillId="0" borderId="5" xfId="0" applyFont="1" applyFill="1" applyBorder="1" applyAlignment="1">
      <alignment horizontal="right" vertical="top"/>
    </xf>
    <xf numFmtId="0" fontId="9" fillId="0" borderId="1" xfId="0" applyFont="1" applyFill="1" applyBorder="1" applyAlignment="1">
      <alignment horizontal="left" vertical="top"/>
    </xf>
    <xf numFmtId="0" fontId="9" fillId="0" borderId="0" xfId="0" applyFont="1" applyFill="1" applyBorder="1" applyAlignment="1">
      <alignment horizontal="left" vertical="top"/>
    </xf>
    <xf numFmtId="0" fontId="7" fillId="0" borderId="0" xfId="0" applyFont="1" applyFill="1" applyBorder="1"/>
    <xf numFmtId="0" fontId="9" fillId="0" borderId="1" xfId="0" applyFont="1" applyFill="1" applyBorder="1" applyAlignment="1">
      <alignment horizontal="left" vertical="top" wrapText="1"/>
    </xf>
    <xf numFmtId="0" fontId="4" fillId="0" borderId="2" xfId="0" applyFont="1" applyFill="1" applyBorder="1" applyAlignment="1">
      <alignment horizontal="right" vertical="top" wrapText="1"/>
    </xf>
    <xf numFmtId="0" fontId="2" fillId="0" borderId="0" xfId="0" applyFont="1" applyFill="1" applyAlignment="1">
      <alignment vertical="top" wrapText="1"/>
    </xf>
    <xf numFmtId="0" fontId="2" fillId="0" borderId="0" xfId="0" applyFont="1" applyFill="1"/>
    <xf numFmtId="0" fontId="4" fillId="0" borderId="2" xfId="0" applyFont="1" applyFill="1" applyBorder="1" applyAlignment="1">
      <alignment vertical="top"/>
    </xf>
    <xf numFmtId="0" fontId="4" fillId="0" borderId="3" xfId="0" applyFont="1" applyFill="1" applyBorder="1" applyAlignment="1">
      <alignment vertical="top"/>
    </xf>
    <xf numFmtId="0" fontId="6" fillId="0" borderId="1" xfId="0" applyFont="1" applyFill="1" applyBorder="1" applyAlignment="1">
      <alignment horizontal="left" vertical="top" wrapText="1"/>
    </xf>
    <xf numFmtId="0" fontId="7" fillId="0" borderId="3" xfId="0" applyFont="1" applyFill="1" applyBorder="1"/>
    <xf numFmtId="0" fontId="1" fillId="0" borderId="0" xfId="0" applyFont="1" applyFill="1" applyAlignment="1">
      <alignment horizontal="center" vertical="top" wrapText="1"/>
    </xf>
    <xf numFmtId="0" fontId="2" fillId="0" borderId="0" xfId="0" applyFont="1" applyFill="1" applyAlignment="1">
      <alignment vertical="top" wrapText="1"/>
    </xf>
    <xf numFmtId="0" fontId="2" fillId="0" borderId="0" xfId="0" applyFont="1" applyFill="1"/>
    <xf numFmtId="0" fontId="7" fillId="0" borderId="3" xfId="0" applyFont="1" applyFill="1" applyBorder="1" applyAlignment="1">
      <alignment vertical="top" wrapText="1"/>
    </xf>
    <xf numFmtId="0" fontId="8" fillId="0" borderId="4" xfId="0" applyFont="1" applyFill="1" applyBorder="1" applyAlignment="1">
      <alignment horizontal="left" vertical="top"/>
    </xf>
    <xf numFmtId="14" fontId="6" fillId="0" borderId="1" xfId="0" applyNumberFormat="1" applyFont="1" applyFill="1" applyBorder="1" applyAlignment="1">
      <alignment horizontal="left" vertical="top" wrapText="1"/>
    </xf>
    <xf numFmtId="0" fontId="4" fillId="0" borderId="2" xfId="0" applyFont="1" applyFill="1" applyBorder="1" applyAlignment="1">
      <alignment vertical="top" wrapText="1"/>
    </xf>
    <xf numFmtId="0" fontId="4" fillId="0" borderId="3" xfId="0" applyFont="1" applyFill="1" applyBorder="1" applyAlignment="1">
      <alignment vertical="top" wrapText="1"/>
    </xf>
    <xf numFmtId="0" fontId="6" fillId="0" borderId="1" xfId="0" quotePrefix="1" applyFont="1" applyFill="1" applyBorder="1" applyAlignment="1">
      <alignment horizontal="left" vertical="top" wrapText="1"/>
    </xf>
    <xf numFmtId="0" fontId="4" fillId="0" borderId="1" xfId="0" applyFont="1" applyFill="1" applyBorder="1" applyAlignment="1">
      <alignment horizontal="left" vertical="top" wrapText="1"/>
    </xf>
    <xf numFmtId="0" fontId="5" fillId="0" borderId="3" xfId="0" applyFont="1" applyFill="1" applyBorder="1"/>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4" fillId="0" borderId="2" xfId="0" applyFont="1" applyFill="1" applyBorder="1" applyAlignment="1">
      <alignment horizontal="right" vertical="top" wrapText="1"/>
    </xf>
    <xf numFmtId="0" fontId="4" fillId="0" borderId="3" xfId="0" applyFont="1" applyFill="1" applyBorder="1" applyAlignment="1">
      <alignment horizontal="right" vertical="top" wrapText="1"/>
    </xf>
    <xf numFmtId="1" fontId="6" fillId="0" borderId="1" xfId="0" quotePrefix="1" applyNumberFormat="1" applyFont="1" applyFill="1" applyBorder="1" applyAlignment="1">
      <alignment horizontal="left" vertical="top" wrapText="1"/>
    </xf>
    <xf numFmtId="1" fontId="7" fillId="0" borderId="3" xfId="0" applyNumberFormat="1" applyFont="1" applyFill="1" applyBorder="1"/>
    <xf numFmtId="0" fontId="4" fillId="0" borderId="2" xfId="0" quotePrefix="1" applyFont="1" applyFill="1" applyBorder="1" applyAlignment="1">
      <alignment horizontal="left" vertical="top" wrapText="1"/>
    </xf>
    <xf numFmtId="0" fontId="4" fillId="0" borderId="3" xfId="0" quotePrefix="1" applyFont="1" applyFill="1" applyBorder="1" applyAlignment="1">
      <alignment horizontal="left" vertical="top" wrapText="1"/>
    </xf>
    <xf numFmtId="49" fontId="10" fillId="0" borderId="0" xfId="0" applyNumberFormat="1" applyFont="1" applyAlignment="1">
      <alignment horizontal="left" vertical="top" wrapText="1"/>
    </xf>
    <xf numFmtId="0" fontId="0" fillId="0" borderId="0" xfId="0" applyAlignment="1">
      <alignment horizontal="left" vertical="top" wrapText="1"/>
    </xf>
    <xf numFmtId="0" fontId="7" fillId="0" borderId="0" xfId="0" applyFont="1" applyFill="1"/>
    <xf numFmtId="49" fontId="10" fillId="0" borderId="0" xfId="0" applyNumberFormat="1" applyFont="1" applyFill="1" applyAlignment="1">
      <alignment horizontal="left" vertical="top" wrapText="1"/>
    </xf>
    <xf numFmtId="0" fontId="0" fillId="0" borderId="0" xfId="0" applyFill="1" applyAlignment="1">
      <alignment horizontal="left" vertical="top" wrapText="1"/>
    </xf>
    <xf numFmtId="0" fontId="0" fillId="0" borderId="0" xfId="0" applyFill="1"/>
    <xf numFmtId="0" fontId="2" fillId="0" borderId="0" xfId="0" applyFont="1" applyFill="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activeX/activeX13.xml><?xml version="1.0" encoding="utf-8"?>
<ax:ocx xmlns:ax="http://schemas.microsoft.com/office/2006/activeX" xmlns:r="http://schemas.openxmlformats.org/officeDocument/2006/relationships" ax:classid="{DFD181E0-5E2F-11CE-A449-00AA004A803D}" ax:persistence="persistStreamInit" r:id="rId1"/>
</file>

<file path=xl/activeX/activeX14.xml><?xml version="1.0" encoding="utf-8"?>
<ax:ocx xmlns:ax="http://schemas.microsoft.com/office/2006/activeX" xmlns:r="http://schemas.openxmlformats.org/officeDocument/2006/relationships" ax:classid="{DFD181E0-5E2F-11CE-A449-00AA004A803D}" ax:persistence="persistStreamInit" r:id="rId1"/>
</file>

<file path=xl/activeX/activeX15.xml><?xml version="1.0" encoding="utf-8"?>
<ax:ocx xmlns:ax="http://schemas.microsoft.com/office/2006/activeX" xmlns:r="http://schemas.openxmlformats.org/officeDocument/2006/relationships" ax:classid="{DFD181E0-5E2F-11CE-A449-00AA004A803D}" ax:persistence="persistStreamInit" r:id="rId1"/>
</file>

<file path=xl/activeX/activeX16.xml><?xml version="1.0" encoding="utf-8"?>
<ax:ocx xmlns:ax="http://schemas.microsoft.com/office/2006/activeX" xmlns:r="http://schemas.openxmlformats.org/officeDocument/2006/relationships" ax:classid="{DFD181E0-5E2F-11CE-A449-00AA004A803D}" ax:persistence="persistStreamInit" r:id="rId1"/>
</file>

<file path=xl/activeX/activeX17.xml><?xml version="1.0" encoding="utf-8"?>
<ax:ocx xmlns:ax="http://schemas.microsoft.com/office/2006/activeX" xmlns:r="http://schemas.openxmlformats.org/officeDocument/2006/relationships" ax:classid="{DFD181E0-5E2F-11CE-A449-00AA004A803D}" ax:persistence="persistStreamInit" r:id="rId1"/>
</file>

<file path=xl/activeX/activeX18.xml><?xml version="1.0" encoding="utf-8"?>
<ax:ocx xmlns:ax="http://schemas.microsoft.com/office/2006/activeX" xmlns:r="http://schemas.openxmlformats.org/officeDocument/2006/relationships" ax:classid="{DFD181E0-5E2F-11CE-A449-00AA004A803D}"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35</xdr:row>
          <xdr:rowOff>352425</xdr:rowOff>
        </xdr:from>
        <xdr:to>
          <xdr:col>5</xdr:col>
          <xdr:colOff>19050</xdr:colOff>
          <xdr:row>36</xdr:row>
          <xdr:rowOff>342900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13</xdr:row>
          <xdr:rowOff>219075</xdr:rowOff>
        </xdr:from>
        <xdr:to>
          <xdr:col>3</xdr:col>
          <xdr:colOff>2295525</xdr:colOff>
          <xdr:row>14</xdr:row>
          <xdr:rowOff>219075</xdr:rowOff>
        </xdr:to>
        <xdr:sp macro="" textlink="">
          <xdr:nvSpPr>
            <xdr:cNvPr id="8194" name="ScrollBar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15</xdr:row>
          <xdr:rowOff>9525</xdr:rowOff>
        </xdr:from>
        <xdr:to>
          <xdr:col>4</xdr:col>
          <xdr:colOff>0</xdr:colOff>
          <xdr:row>16</xdr:row>
          <xdr:rowOff>9525</xdr:rowOff>
        </xdr:to>
        <xdr:sp macro="" textlink="">
          <xdr:nvSpPr>
            <xdr:cNvPr id="8195" name="ScrollBar2"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26</xdr:row>
          <xdr:rowOff>0</xdr:rowOff>
        </xdr:from>
        <xdr:to>
          <xdr:col>4</xdr:col>
          <xdr:colOff>0</xdr:colOff>
          <xdr:row>27</xdr:row>
          <xdr:rowOff>0</xdr:rowOff>
        </xdr:to>
        <xdr:sp macro="" textlink="">
          <xdr:nvSpPr>
            <xdr:cNvPr id="8196" name="ScrollBar3"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19050</xdr:rowOff>
        </xdr:from>
        <xdr:to>
          <xdr:col>4</xdr:col>
          <xdr:colOff>9525</xdr:colOff>
          <xdr:row>28</xdr:row>
          <xdr:rowOff>19050</xdr:rowOff>
        </xdr:to>
        <xdr:sp macro="" textlink="">
          <xdr:nvSpPr>
            <xdr:cNvPr id="8197" name="ScrollBar4" hidden="1">
              <a:extLst>
                <a:ext uri="{63B3BB69-23CF-44E3-9099-C40C66FF867C}">
                  <a14:compatExt spid="_x0000_s8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28</xdr:row>
          <xdr:rowOff>228600</xdr:rowOff>
        </xdr:from>
        <xdr:to>
          <xdr:col>4</xdr:col>
          <xdr:colOff>0</xdr:colOff>
          <xdr:row>29</xdr:row>
          <xdr:rowOff>228600</xdr:rowOff>
        </xdr:to>
        <xdr:sp macro="" textlink="">
          <xdr:nvSpPr>
            <xdr:cNvPr id="8198" name="ScrollBar5" hidden="1">
              <a:extLst>
                <a:ext uri="{63B3BB69-23CF-44E3-9099-C40C66FF867C}">
                  <a14:compatExt spid="_x0000_s8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30</xdr:row>
          <xdr:rowOff>19050</xdr:rowOff>
        </xdr:from>
        <xdr:to>
          <xdr:col>3</xdr:col>
          <xdr:colOff>2314575</xdr:colOff>
          <xdr:row>31</xdr:row>
          <xdr:rowOff>19050</xdr:rowOff>
        </xdr:to>
        <xdr:sp macro="" textlink="">
          <xdr:nvSpPr>
            <xdr:cNvPr id="8199" name="ScrollBar6" hidden="1">
              <a:extLst>
                <a:ext uri="{63B3BB69-23CF-44E3-9099-C40C66FF867C}">
                  <a14:compatExt spid="_x0000_s8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35</xdr:row>
          <xdr:rowOff>352425</xdr:rowOff>
        </xdr:from>
        <xdr:to>
          <xdr:col>5</xdr:col>
          <xdr:colOff>19050</xdr:colOff>
          <xdr:row>36</xdr:row>
          <xdr:rowOff>342900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13</xdr:row>
          <xdr:rowOff>219075</xdr:rowOff>
        </xdr:from>
        <xdr:to>
          <xdr:col>3</xdr:col>
          <xdr:colOff>2295525</xdr:colOff>
          <xdr:row>14</xdr:row>
          <xdr:rowOff>219075</xdr:rowOff>
        </xdr:to>
        <xdr:sp macro="" textlink="">
          <xdr:nvSpPr>
            <xdr:cNvPr id="7170" name="ScrollBar1"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15</xdr:row>
          <xdr:rowOff>9525</xdr:rowOff>
        </xdr:from>
        <xdr:to>
          <xdr:col>4</xdr:col>
          <xdr:colOff>0</xdr:colOff>
          <xdr:row>16</xdr:row>
          <xdr:rowOff>9525</xdr:rowOff>
        </xdr:to>
        <xdr:sp macro="" textlink="">
          <xdr:nvSpPr>
            <xdr:cNvPr id="7171" name="ScrollBar2"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26</xdr:row>
          <xdr:rowOff>0</xdr:rowOff>
        </xdr:from>
        <xdr:to>
          <xdr:col>4</xdr:col>
          <xdr:colOff>0</xdr:colOff>
          <xdr:row>27</xdr:row>
          <xdr:rowOff>0</xdr:rowOff>
        </xdr:to>
        <xdr:sp macro="" textlink="">
          <xdr:nvSpPr>
            <xdr:cNvPr id="7172" name="ScrollBar3"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19050</xdr:rowOff>
        </xdr:from>
        <xdr:to>
          <xdr:col>4</xdr:col>
          <xdr:colOff>9525</xdr:colOff>
          <xdr:row>28</xdr:row>
          <xdr:rowOff>19050</xdr:rowOff>
        </xdr:to>
        <xdr:sp macro="" textlink="">
          <xdr:nvSpPr>
            <xdr:cNvPr id="7173" name="ScrollBar4"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28</xdr:row>
          <xdr:rowOff>228600</xdr:rowOff>
        </xdr:from>
        <xdr:to>
          <xdr:col>4</xdr:col>
          <xdr:colOff>0</xdr:colOff>
          <xdr:row>29</xdr:row>
          <xdr:rowOff>228600</xdr:rowOff>
        </xdr:to>
        <xdr:sp macro="" textlink="">
          <xdr:nvSpPr>
            <xdr:cNvPr id="7174" name="ScrollBar5"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30</xdr:row>
          <xdr:rowOff>19050</xdr:rowOff>
        </xdr:from>
        <xdr:to>
          <xdr:col>3</xdr:col>
          <xdr:colOff>2314575</xdr:colOff>
          <xdr:row>31</xdr:row>
          <xdr:rowOff>19050</xdr:rowOff>
        </xdr:to>
        <xdr:sp macro="" textlink="">
          <xdr:nvSpPr>
            <xdr:cNvPr id="7175" name="ScrollBar6"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35</xdr:row>
          <xdr:rowOff>352425</xdr:rowOff>
        </xdr:from>
        <xdr:to>
          <xdr:col>5</xdr:col>
          <xdr:colOff>19050</xdr:colOff>
          <xdr:row>36</xdr:row>
          <xdr:rowOff>342900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13</xdr:row>
          <xdr:rowOff>219075</xdr:rowOff>
        </xdr:from>
        <xdr:to>
          <xdr:col>3</xdr:col>
          <xdr:colOff>2295525</xdr:colOff>
          <xdr:row>14</xdr:row>
          <xdr:rowOff>219075</xdr:rowOff>
        </xdr:to>
        <xdr:sp macro="" textlink="">
          <xdr:nvSpPr>
            <xdr:cNvPr id="6146" name="ScrollBar1"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15</xdr:row>
          <xdr:rowOff>9525</xdr:rowOff>
        </xdr:from>
        <xdr:to>
          <xdr:col>4</xdr:col>
          <xdr:colOff>0</xdr:colOff>
          <xdr:row>16</xdr:row>
          <xdr:rowOff>9525</xdr:rowOff>
        </xdr:to>
        <xdr:sp macro="" textlink="">
          <xdr:nvSpPr>
            <xdr:cNvPr id="6147" name="ScrollBar2"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26</xdr:row>
          <xdr:rowOff>0</xdr:rowOff>
        </xdr:from>
        <xdr:to>
          <xdr:col>4</xdr:col>
          <xdr:colOff>0</xdr:colOff>
          <xdr:row>27</xdr:row>
          <xdr:rowOff>0</xdr:rowOff>
        </xdr:to>
        <xdr:sp macro="" textlink="">
          <xdr:nvSpPr>
            <xdr:cNvPr id="6148" name="ScrollBar3"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19050</xdr:rowOff>
        </xdr:from>
        <xdr:to>
          <xdr:col>4</xdr:col>
          <xdr:colOff>9525</xdr:colOff>
          <xdr:row>28</xdr:row>
          <xdr:rowOff>19050</xdr:rowOff>
        </xdr:to>
        <xdr:sp macro="" textlink="">
          <xdr:nvSpPr>
            <xdr:cNvPr id="6149" name="ScrollBar4"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28</xdr:row>
          <xdr:rowOff>228600</xdr:rowOff>
        </xdr:from>
        <xdr:to>
          <xdr:col>4</xdr:col>
          <xdr:colOff>0</xdr:colOff>
          <xdr:row>29</xdr:row>
          <xdr:rowOff>228600</xdr:rowOff>
        </xdr:to>
        <xdr:sp macro="" textlink="">
          <xdr:nvSpPr>
            <xdr:cNvPr id="6150" name="ScrollBar5"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30</xdr:row>
          <xdr:rowOff>19050</xdr:rowOff>
        </xdr:from>
        <xdr:to>
          <xdr:col>3</xdr:col>
          <xdr:colOff>2314575</xdr:colOff>
          <xdr:row>31</xdr:row>
          <xdr:rowOff>19050</xdr:rowOff>
        </xdr:to>
        <xdr:sp macro="" textlink="">
          <xdr:nvSpPr>
            <xdr:cNvPr id="6151" name="ScrollBar6"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1.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trlProp" Target="../ctrlProps/ctrlProp2.xml"/><Relationship Id="rId5" Type="http://schemas.openxmlformats.org/officeDocument/2006/relationships/image" Target="../media/image2.emf"/><Relationship Id="rId10" Type="http://schemas.openxmlformats.org/officeDocument/2006/relationships/control" Target="../activeX/activeX12.xml"/><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3.vml"/><Relationship Id="rId7" Type="http://schemas.openxmlformats.org/officeDocument/2006/relationships/image" Target="../media/image1.emf"/><Relationship Id="rId12" Type="http://schemas.openxmlformats.org/officeDocument/2006/relationships/ctrlProp" Target="../ctrlProps/ctrlProp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5" Type="http://schemas.openxmlformats.org/officeDocument/2006/relationships/image" Target="../media/image2.emf"/><Relationship Id="rId10" Type="http://schemas.openxmlformats.org/officeDocument/2006/relationships/control" Target="../activeX/activeX17.xml"/><Relationship Id="rId4" Type="http://schemas.openxmlformats.org/officeDocument/2006/relationships/control" Target="../activeX/activeX13.xml"/><Relationship Id="rId9" Type="http://schemas.openxmlformats.org/officeDocument/2006/relationships/control" Target="../activeX/activeX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D55"/>
  <sheetViews>
    <sheetView view="pageBreakPreview" topLeftCell="A27" zoomScaleNormal="100" zoomScaleSheetLayoutView="100" workbookViewId="0">
      <selection activeCell="J47" sqref="J47"/>
    </sheetView>
  </sheetViews>
  <sheetFormatPr defaultColWidth="9.140625" defaultRowHeight="24.95" customHeight="1" x14ac:dyDescent="0.25"/>
  <cols>
    <col min="1" max="1" width="36.42578125" style="1" customWidth="1"/>
    <col min="2" max="2" width="17.5703125" style="3" customWidth="1"/>
    <col min="3" max="3" width="18.85546875" style="4" customWidth="1"/>
    <col min="4" max="4" width="34.85546875" style="3" customWidth="1"/>
    <col min="5" max="5" width="9.140625" style="4" customWidth="1"/>
    <col min="6" max="16384" width="9.140625" style="4"/>
  </cols>
  <sheetData>
    <row r="1" spans="1:4" ht="23.1" customHeight="1" x14ac:dyDescent="0.25">
      <c r="A1" s="20" t="s">
        <v>59</v>
      </c>
      <c r="B1" s="21"/>
      <c r="C1" s="22"/>
      <c r="D1" s="21"/>
    </row>
    <row r="2" spans="1:4" s="2" customFormat="1" ht="18.95" customHeight="1" x14ac:dyDescent="0.2">
      <c r="A2" s="16" t="s">
        <v>29</v>
      </c>
      <c r="B2" s="17"/>
      <c r="C2" s="18" t="s">
        <v>0</v>
      </c>
      <c r="D2" s="19"/>
    </row>
    <row r="3" spans="1:4" s="2" customFormat="1" ht="18.95" customHeight="1" x14ac:dyDescent="0.2">
      <c r="A3" s="16" t="s">
        <v>30</v>
      </c>
      <c r="B3" s="17"/>
      <c r="C3" s="18" t="s">
        <v>60</v>
      </c>
      <c r="D3" s="19"/>
    </row>
    <row r="4" spans="1:4" s="2" customFormat="1" ht="18.95" customHeight="1" x14ac:dyDescent="0.2">
      <c r="A4" s="16" t="s">
        <v>31</v>
      </c>
      <c r="B4" s="17"/>
      <c r="C4" s="18" t="s">
        <v>51</v>
      </c>
      <c r="D4" s="19"/>
    </row>
    <row r="5" spans="1:4" s="2" customFormat="1" ht="18.95" customHeight="1" x14ac:dyDescent="0.2">
      <c r="A5" s="16" t="s">
        <v>32</v>
      </c>
      <c r="B5" s="17"/>
      <c r="C5" s="18" t="s">
        <v>51</v>
      </c>
      <c r="D5" s="19"/>
    </row>
    <row r="6" spans="1:4" s="2" customFormat="1" ht="18.95" customHeight="1" x14ac:dyDescent="0.2">
      <c r="A6" s="16" t="s">
        <v>33</v>
      </c>
      <c r="B6" s="17"/>
      <c r="C6" s="18" t="s">
        <v>61</v>
      </c>
      <c r="D6" s="19"/>
    </row>
    <row r="7" spans="1:4" s="2" customFormat="1" ht="18.95" customHeight="1" x14ac:dyDescent="0.2">
      <c r="A7" s="16" t="s">
        <v>34</v>
      </c>
      <c r="B7" s="17"/>
      <c r="C7" s="18" t="s">
        <v>62</v>
      </c>
      <c r="D7" s="19"/>
    </row>
    <row r="8" spans="1:4" s="2" customFormat="1" ht="36.75" customHeight="1" x14ac:dyDescent="0.2">
      <c r="A8" s="16" t="s">
        <v>35</v>
      </c>
      <c r="B8" s="17"/>
      <c r="C8" s="18" t="s">
        <v>64</v>
      </c>
      <c r="D8" s="23"/>
    </row>
    <row r="9" spans="1:4" s="2" customFormat="1" ht="18.95" customHeight="1" x14ac:dyDescent="0.2">
      <c r="A9" s="16" t="s">
        <v>36</v>
      </c>
      <c r="B9" s="17"/>
      <c r="C9" s="18" t="s">
        <v>63</v>
      </c>
      <c r="D9" s="19"/>
    </row>
    <row r="10" spans="1:4" s="2" customFormat="1" ht="18.95" customHeight="1" x14ac:dyDescent="0.2">
      <c r="A10" s="16" t="s">
        <v>37</v>
      </c>
      <c r="B10" s="17"/>
      <c r="C10" s="18" t="s">
        <v>4</v>
      </c>
      <c r="D10" s="19"/>
    </row>
    <row r="11" spans="1:4" s="2" customFormat="1" ht="18.95" customHeight="1" x14ac:dyDescent="0.2">
      <c r="A11" s="16" t="s">
        <v>38</v>
      </c>
      <c r="B11" s="17"/>
      <c r="C11" s="24" t="s">
        <v>25</v>
      </c>
      <c r="D11" s="24"/>
    </row>
    <row r="12" spans="1:4" s="2" customFormat="1" ht="18.95" customHeight="1" x14ac:dyDescent="0.2">
      <c r="A12" s="16" t="s">
        <v>39</v>
      </c>
      <c r="B12" s="17"/>
      <c r="C12" s="25">
        <v>45217</v>
      </c>
      <c r="D12" s="19"/>
    </row>
    <row r="13" spans="1:4" s="2" customFormat="1" ht="18.95" customHeight="1" x14ac:dyDescent="0.2">
      <c r="A13" s="16" t="s">
        <v>40</v>
      </c>
      <c r="B13" s="17"/>
      <c r="C13" s="25">
        <v>45582</v>
      </c>
      <c r="D13" s="19"/>
    </row>
    <row r="14" spans="1:4" s="2" customFormat="1" ht="18.95" customHeight="1" x14ac:dyDescent="0.2">
      <c r="A14" s="16" t="s">
        <v>41</v>
      </c>
      <c r="B14" s="17"/>
      <c r="C14" s="25">
        <v>45752</v>
      </c>
      <c r="D14" s="19"/>
    </row>
    <row r="15" spans="1:4" s="2" customFormat="1" ht="18.95" customHeight="1" x14ac:dyDescent="0.2">
      <c r="A15" s="26" t="s">
        <v>42</v>
      </c>
      <c r="B15" s="27"/>
      <c r="C15" s="28" t="s">
        <v>7</v>
      </c>
      <c r="D15" s="19"/>
    </row>
    <row r="16" spans="1:4" s="2" customFormat="1" ht="18.95" customHeight="1" x14ac:dyDescent="0.2">
      <c r="A16" s="16" t="s">
        <v>43</v>
      </c>
      <c r="B16" s="17"/>
      <c r="C16" s="28" t="s">
        <v>27</v>
      </c>
      <c r="D16" s="19"/>
    </row>
    <row r="17" spans="1:4" s="2" customFormat="1" ht="18.95" customHeight="1" x14ac:dyDescent="0.2">
      <c r="A17" s="16" t="s">
        <v>44</v>
      </c>
      <c r="B17" s="17"/>
      <c r="C17" s="18">
        <v>1002492</v>
      </c>
      <c r="D17" s="19"/>
    </row>
    <row r="18" spans="1:4" s="2" customFormat="1" ht="18.95" customHeight="1" x14ac:dyDescent="0.2">
      <c r="A18" s="16" t="s">
        <v>45</v>
      </c>
      <c r="B18" s="17"/>
      <c r="C18" s="18">
        <v>0</v>
      </c>
      <c r="D18" s="19"/>
    </row>
    <row r="19" spans="1:4" s="2" customFormat="1" ht="18.95" customHeight="1" x14ac:dyDescent="0.2">
      <c r="A19" s="16" t="s">
        <v>46</v>
      </c>
      <c r="B19" s="17"/>
      <c r="C19" s="29">
        <v>775469</v>
      </c>
      <c r="D19" s="30"/>
    </row>
    <row r="20" spans="1:4" s="2" customFormat="1" ht="18.95" customHeight="1" x14ac:dyDescent="0.2">
      <c r="A20" s="16" t="s">
        <v>47</v>
      </c>
      <c r="B20" s="17"/>
      <c r="C20" s="31">
        <f>C18+C19</f>
        <v>775469</v>
      </c>
      <c r="D20" s="32"/>
    </row>
    <row r="21" spans="1:4" s="2" customFormat="1" ht="18.95" customHeight="1" x14ac:dyDescent="0.2">
      <c r="A21" s="16" t="s">
        <v>48</v>
      </c>
      <c r="B21" s="17"/>
      <c r="C21" s="18">
        <f>C17-C20</f>
        <v>227023</v>
      </c>
      <c r="D21" s="19"/>
    </row>
    <row r="22" spans="1:4" s="2" customFormat="1" ht="18.95" customHeight="1" x14ac:dyDescent="0.2">
      <c r="A22" s="31" t="s">
        <v>21</v>
      </c>
      <c r="B22" s="32"/>
      <c r="C22" s="24" t="s">
        <v>26</v>
      </c>
      <c r="D22" s="24"/>
    </row>
    <row r="23" spans="1:4" s="2" customFormat="1" ht="18.95" customHeight="1" x14ac:dyDescent="0.2">
      <c r="A23" s="31" t="s">
        <v>49</v>
      </c>
      <c r="B23" s="32"/>
      <c r="C23" s="25">
        <v>45796</v>
      </c>
      <c r="D23" s="19"/>
    </row>
    <row r="24" spans="1:4" s="2" customFormat="1" ht="18.95" customHeight="1" x14ac:dyDescent="0.2">
      <c r="A24" s="31" t="s">
        <v>22</v>
      </c>
      <c r="B24" s="32"/>
      <c r="C24" s="18"/>
      <c r="D24" s="19"/>
    </row>
    <row r="25" spans="1:4" s="2" customFormat="1" ht="18.95" customHeight="1" x14ac:dyDescent="0.2">
      <c r="A25" s="31" t="s">
        <v>23</v>
      </c>
      <c r="B25" s="32"/>
      <c r="C25" s="28" t="s">
        <v>5</v>
      </c>
      <c r="D25" s="19"/>
    </row>
    <row r="26" spans="1:4" s="2" customFormat="1" ht="18.95" customHeight="1" x14ac:dyDescent="0.2">
      <c r="A26" s="31" t="s">
        <v>24</v>
      </c>
      <c r="B26" s="32"/>
      <c r="C26" s="28" t="s">
        <v>5</v>
      </c>
      <c r="D26" s="19"/>
    </row>
    <row r="27" spans="1:4" s="2" customFormat="1" ht="18.95" customHeight="1" x14ac:dyDescent="0.2">
      <c r="A27" s="31" t="s">
        <v>6</v>
      </c>
      <c r="B27" s="32"/>
      <c r="C27" s="28" t="s">
        <v>27</v>
      </c>
      <c r="D27" s="19"/>
    </row>
    <row r="28" spans="1:4" s="2" customFormat="1" ht="18.95" customHeight="1" x14ac:dyDescent="0.2">
      <c r="A28" s="31" t="s">
        <v>8</v>
      </c>
      <c r="B28" s="32"/>
      <c r="C28" s="28" t="s">
        <v>7</v>
      </c>
      <c r="D28" s="19"/>
    </row>
    <row r="29" spans="1:4" s="2" customFormat="1" ht="18.95" customHeight="1" x14ac:dyDescent="0.2">
      <c r="A29" s="33" t="s">
        <v>9</v>
      </c>
      <c r="B29" s="34"/>
      <c r="C29" s="35">
        <v>8195</v>
      </c>
      <c r="D29" s="36"/>
    </row>
    <row r="30" spans="1:4" s="2" customFormat="1" ht="18.95" customHeight="1" x14ac:dyDescent="0.2">
      <c r="A30" s="37" t="s">
        <v>10</v>
      </c>
      <c r="B30" s="38"/>
      <c r="C30" s="28" t="s">
        <v>27</v>
      </c>
      <c r="D30" s="19"/>
    </row>
    <row r="31" spans="1:4" s="2" customFormat="1" ht="18.95" customHeight="1" x14ac:dyDescent="0.2">
      <c r="A31" s="37" t="s">
        <v>11</v>
      </c>
      <c r="B31" s="38"/>
      <c r="C31" s="28" t="s">
        <v>7</v>
      </c>
      <c r="D31" s="28"/>
    </row>
    <row r="32" spans="1:4" s="2" customFormat="1" ht="18.95" customHeight="1" x14ac:dyDescent="0.2">
      <c r="A32" s="5" t="s">
        <v>12</v>
      </c>
      <c r="B32" s="6" t="s">
        <v>14</v>
      </c>
      <c r="C32" s="7"/>
      <c r="D32" s="7"/>
    </row>
    <row r="33" spans="1:4" s="2" customFormat="1" ht="18.95" customHeight="1" x14ac:dyDescent="0.2">
      <c r="A33" s="8" t="s">
        <v>15</v>
      </c>
      <c r="B33" s="9">
        <f>ROUND($C$19*0.1,0)</f>
        <v>77547</v>
      </c>
      <c r="C33" s="10"/>
      <c r="D33" s="11"/>
    </row>
    <row r="34" spans="1:4" s="2" customFormat="1" ht="18.95" customHeight="1" x14ac:dyDescent="0.2">
      <c r="A34" s="8" t="s">
        <v>16</v>
      </c>
      <c r="B34" s="9">
        <f>ROUND($C$19*0.02,0)</f>
        <v>15509</v>
      </c>
      <c r="C34" s="10"/>
      <c r="D34" s="11"/>
    </row>
    <row r="35" spans="1:4" s="2" customFormat="1" ht="18.95" customHeight="1" x14ac:dyDescent="0.2">
      <c r="A35" s="8" t="s">
        <v>17</v>
      </c>
      <c r="B35" s="12">
        <f>IF(MOD(ROUND($C$19*0.02,0),2)=0,
     ROUND($C$19*0.02,0),
     ROUND($C$19*0.02,0)+1)</f>
        <v>15510</v>
      </c>
      <c r="C35" s="10"/>
      <c r="D35" s="11"/>
    </row>
    <row r="36" spans="1:4" s="2" customFormat="1" ht="18.95" customHeight="1" x14ac:dyDescent="0.2">
      <c r="A36" s="8" t="s">
        <v>18</v>
      </c>
      <c r="B36" s="9">
        <f>ROUND($C$19*0.01,0)</f>
        <v>7755</v>
      </c>
      <c r="C36" s="10"/>
      <c r="D36" s="11"/>
    </row>
    <row r="37" spans="1:4" s="2" customFormat="1" ht="18.95" customHeight="1" x14ac:dyDescent="0.2">
      <c r="A37" s="8" t="s">
        <v>19</v>
      </c>
      <c r="B37" s="9">
        <v>0</v>
      </c>
      <c r="C37" s="10"/>
      <c r="D37" s="11"/>
    </row>
    <row r="38" spans="1:4" s="2" customFormat="1" ht="18.95" customHeight="1" x14ac:dyDescent="0.2">
      <c r="A38" s="8" t="s">
        <v>20</v>
      </c>
      <c r="B38" s="9">
        <f>C19-SUM(B33:B37)</f>
        <v>659148</v>
      </c>
      <c r="C38" s="10"/>
      <c r="D38" s="11"/>
    </row>
    <row r="39" spans="1:4" s="2" customFormat="1" ht="18.95" customHeight="1" x14ac:dyDescent="0.2">
      <c r="A39" s="8" t="s">
        <v>13</v>
      </c>
      <c r="B39" s="9">
        <f>SUM(B33:C38)</f>
        <v>775469</v>
      </c>
      <c r="C39" s="10"/>
      <c r="D39" s="11"/>
    </row>
    <row r="40" spans="1:4" ht="15.75" x14ac:dyDescent="0.25">
      <c r="A40" s="39" t="s">
        <v>66</v>
      </c>
      <c r="B40" s="40"/>
      <c r="C40" s="40"/>
      <c r="D40" s="40"/>
    </row>
    <row r="41" spans="1:4" ht="15.75" x14ac:dyDescent="0.25">
      <c r="A41" s="40"/>
      <c r="B41" s="40"/>
      <c r="C41" s="40"/>
      <c r="D41" s="40"/>
    </row>
    <row r="42" spans="1:4" ht="15.75" x14ac:dyDescent="0.25">
      <c r="A42" s="40"/>
      <c r="B42" s="40"/>
      <c r="C42" s="40"/>
      <c r="D42" s="40"/>
    </row>
    <row r="43" spans="1:4" ht="15.75" x14ac:dyDescent="0.25">
      <c r="A43" s="40"/>
      <c r="B43" s="40"/>
      <c r="C43" s="40"/>
      <c r="D43" s="40"/>
    </row>
    <row r="44" spans="1:4" ht="15.75" x14ac:dyDescent="0.25">
      <c r="A44" s="40"/>
      <c r="B44" s="40"/>
      <c r="C44" s="40"/>
      <c r="D44" s="40"/>
    </row>
    <row r="45" spans="1:4" ht="15.75" x14ac:dyDescent="0.25">
      <c r="A45" s="40"/>
      <c r="B45" s="40"/>
      <c r="C45" s="40"/>
      <c r="D45" s="40"/>
    </row>
    <row r="46" spans="1:4" ht="15.75" x14ac:dyDescent="0.25">
      <c r="A46" s="40"/>
      <c r="B46" s="40"/>
      <c r="C46" s="40"/>
      <c r="D46" s="40"/>
    </row>
    <row r="47" spans="1:4" ht="15.75" x14ac:dyDescent="0.25">
      <c r="A47" s="40"/>
      <c r="B47" s="40"/>
      <c r="C47" s="40"/>
      <c r="D47" s="40"/>
    </row>
    <row r="48" spans="1:4" ht="15.75" x14ac:dyDescent="0.25">
      <c r="A48" s="40"/>
      <c r="B48" s="40"/>
      <c r="C48" s="40"/>
      <c r="D48" s="40"/>
    </row>
    <row r="49" spans="1:4" ht="15.75" x14ac:dyDescent="0.25">
      <c r="A49" s="40"/>
      <c r="B49" s="40"/>
      <c r="C49" s="40"/>
      <c r="D49" s="40"/>
    </row>
    <row r="50" spans="1:4" ht="15.75" x14ac:dyDescent="0.25">
      <c r="A50" s="40"/>
      <c r="B50" s="40"/>
      <c r="C50" s="40"/>
      <c r="D50" s="40"/>
    </row>
    <row r="51" spans="1:4" ht="15.75" x14ac:dyDescent="0.25">
      <c r="A51" s="40"/>
      <c r="B51" s="40"/>
      <c r="C51" s="40"/>
      <c r="D51" s="40"/>
    </row>
    <row r="52" spans="1:4" ht="15.75" x14ac:dyDescent="0.25">
      <c r="A52" s="40"/>
      <c r="B52" s="40"/>
      <c r="C52" s="40"/>
      <c r="D52" s="40"/>
    </row>
    <row r="53" spans="1:4" ht="24.95" customHeight="1" x14ac:dyDescent="0.25">
      <c r="A53"/>
      <c r="B53"/>
      <c r="C53"/>
      <c r="D53"/>
    </row>
    <row r="54" spans="1:4" ht="24.95" customHeight="1" x14ac:dyDescent="0.25">
      <c r="A54"/>
      <c r="B54"/>
      <c r="C54"/>
      <c r="D54"/>
    </row>
    <row r="55" spans="1:4" ht="24.95" customHeight="1" x14ac:dyDescent="0.25">
      <c r="A55"/>
      <c r="B55"/>
      <c r="C55"/>
      <c r="D55"/>
    </row>
  </sheetData>
  <mergeCells count="62">
    <mergeCell ref="A29:B29"/>
    <mergeCell ref="C29:D29"/>
    <mergeCell ref="A30:B30"/>
    <mergeCell ref="C30:D30"/>
    <mergeCell ref="A31:B31"/>
    <mergeCell ref="C31:D31"/>
    <mergeCell ref="A40:D52"/>
    <mergeCell ref="A26:B26"/>
    <mergeCell ref="C26:D26"/>
    <mergeCell ref="A27:B27"/>
    <mergeCell ref="C27:D27"/>
    <mergeCell ref="A28:B28"/>
    <mergeCell ref="C28:D28"/>
    <mergeCell ref="A23:B23"/>
    <mergeCell ref="C23:D23"/>
    <mergeCell ref="A24:B24"/>
    <mergeCell ref="C24:D24"/>
    <mergeCell ref="A25:B25"/>
    <mergeCell ref="C25:D25"/>
    <mergeCell ref="A20:B20"/>
    <mergeCell ref="C20:D20"/>
    <mergeCell ref="A21:B21"/>
    <mergeCell ref="C21:D21"/>
    <mergeCell ref="A22:B22"/>
    <mergeCell ref="C22:D22"/>
    <mergeCell ref="A17:B17"/>
    <mergeCell ref="C17:D17"/>
    <mergeCell ref="A18:B18"/>
    <mergeCell ref="C18:D18"/>
    <mergeCell ref="A19:B19"/>
    <mergeCell ref="C19:D19"/>
    <mergeCell ref="A14:B14"/>
    <mergeCell ref="C14:D14"/>
    <mergeCell ref="A15:B15"/>
    <mergeCell ref="C15:D15"/>
    <mergeCell ref="A16:B16"/>
    <mergeCell ref="C16:D16"/>
    <mergeCell ref="A11:B11"/>
    <mergeCell ref="C11:D11"/>
    <mergeCell ref="A12:B12"/>
    <mergeCell ref="C12:D12"/>
    <mergeCell ref="A13:B13"/>
    <mergeCell ref="C13:D13"/>
    <mergeCell ref="A8:B8"/>
    <mergeCell ref="C8:D8"/>
    <mergeCell ref="A9:B9"/>
    <mergeCell ref="C9:D9"/>
    <mergeCell ref="A10:B10"/>
    <mergeCell ref="C10:D10"/>
    <mergeCell ref="A5:B5"/>
    <mergeCell ref="C5:D5"/>
    <mergeCell ref="A6:B6"/>
    <mergeCell ref="C6:D6"/>
    <mergeCell ref="A7:B7"/>
    <mergeCell ref="C7:D7"/>
    <mergeCell ref="A4:B4"/>
    <mergeCell ref="C4:D4"/>
    <mergeCell ref="A1:D1"/>
    <mergeCell ref="A2:B2"/>
    <mergeCell ref="C2:D2"/>
    <mergeCell ref="A3:B3"/>
    <mergeCell ref="C3:D3"/>
  </mergeCells>
  <dataValidations count="1">
    <dataValidation type="date" allowBlank="1" showInputMessage="1" showErrorMessage="1" sqref="C12:D14">
      <formula1>43466</formula1>
      <formula2>49310</formula2>
    </dataValidation>
  </dataValidations>
  <printOptions horizontalCentered="1"/>
  <pageMargins left="0.39370078740157477" right="0.39370078740157477" top="0.39370078740157477" bottom="0.59055118110236215" header="0" footer="0"/>
  <pageSetup paperSize="9" scale="82" orientation="portrait" r:id="rId1"/>
  <drawing r:id="rId2"/>
  <legacyDrawing r:id="rId3"/>
  <controls>
    <mc:AlternateContent xmlns:mc="http://schemas.openxmlformats.org/markup-compatibility/2006">
      <mc:Choice Requires="x14">
        <control shapeId="8199" r:id="rId4" name="ScrollBar6">
          <controlPr autoLine="0" r:id="rId5">
            <anchor moveWithCells="1">
              <from>
                <xdr:col>3</xdr:col>
                <xdr:colOff>428625</xdr:colOff>
                <xdr:row>30</xdr:row>
                <xdr:rowOff>19050</xdr:rowOff>
              </from>
              <to>
                <xdr:col>3</xdr:col>
                <xdr:colOff>2314575</xdr:colOff>
                <xdr:row>31</xdr:row>
                <xdr:rowOff>19050</xdr:rowOff>
              </to>
            </anchor>
          </controlPr>
        </control>
      </mc:Choice>
      <mc:Fallback>
        <control shapeId="8199" r:id="rId4" name="ScrollBar6"/>
      </mc:Fallback>
    </mc:AlternateContent>
    <mc:AlternateContent xmlns:mc="http://schemas.openxmlformats.org/markup-compatibility/2006">
      <mc:Choice Requires="x14">
        <control shapeId="8198" r:id="rId6" name="ScrollBar5">
          <controlPr autoLine="0" r:id="rId7">
            <anchor moveWithCells="1">
              <from>
                <xdr:col>3</xdr:col>
                <xdr:colOff>438150</xdr:colOff>
                <xdr:row>28</xdr:row>
                <xdr:rowOff>228600</xdr:rowOff>
              </from>
              <to>
                <xdr:col>4</xdr:col>
                <xdr:colOff>0</xdr:colOff>
                <xdr:row>29</xdr:row>
                <xdr:rowOff>228600</xdr:rowOff>
              </to>
            </anchor>
          </controlPr>
        </control>
      </mc:Choice>
      <mc:Fallback>
        <control shapeId="8198" r:id="rId6" name="ScrollBar5"/>
      </mc:Fallback>
    </mc:AlternateContent>
    <mc:AlternateContent xmlns:mc="http://schemas.openxmlformats.org/markup-compatibility/2006">
      <mc:Choice Requires="x14">
        <control shapeId="8197" r:id="rId8" name="ScrollBar4">
          <controlPr autoLine="0" r:id="rId5">
            <anchor moveWithCells="1">
              <from>
                <xdr:col>3</xdr:col>
                <xdr:colOff>447675</xdr:colOff>
                <xdr:row>27</xdr:row>
                <xdr:rowOff>19050</xdr:rowOff>
              </from>
              <to>
                <xdr:col>4</xdr:col>
                <xdr:colOff>9525</xdr:colOff>
                <xdr:row>28</xdr:row>
                <xdr:rowOff>19050</xdr:rowOff>
              </to>
            </anchor>
          </controlPr>
        </control>
      </mc:Choice>
      <mc:Fallback>
        <control shapeId="8197" r:id="rId8" name="ScrollBar4"/>
      </mc:Fallback>
    </mc:AlternateContent>
    <mc:AlternateContent xmlns:mc="http://schemas.openxmlformats.org/markup-compatibility/2006">
      <mc:Choice Requires="x14">
        <control shapeId="8196" r:id="rId9" name="ScrollBar3">
          <controlPr autoLine="0" r:id="rId7">
            <anchor moveWithCells="1">
              <from>
                <xdr:col>3</xdr:col>
                <xdr:colOff>438150</xdr:colOff>
                <xdr:row>26</xdr:row>
                <xdr:rowOff>0</xdr:rowOff>
              </from>
              <to>
                <xdr:col>4</xdr:col>
                <xdr:colOff>0</xdr:colOff>
                <xdr:row>27</xdr:row>
                <xdr:rowOff>0</xdr:rowOff>
              </to>
            </anchor>
          </controlPr>
        </control>
      </mc:Choice>
      <mc:Fallback>
        <control shapeId="8196" r:id="rId9" name="ScrollBar3"/>
      </mc:Fallback>
    </mc:AlternateContent>
    <mc:AlternateContent xmlns:mc="http://schemas.openxmlformats.org/markup-compatibility/2006">
      <mc:Choice Requires="x14">
        <control shapeId="8195" r:id="rId10" name="ScrollBar2">
          <controlPr autoLine="0" r:id="rId7">
            <anchor moveWithCells="1">
              <from>
                <xdr:col>3</xdr:col>
                <xdr:colOff>438150</xdr:colOff>
                <xdr:row>15</xdr:row>
                <xdr:rowOff>9525</xdr:rowOff>
              </from>
              <to>
                <xdr:col>4</xdr:col>
                <xdr:colOff>0</xdr:colOff>
                <xdr:row>16</xdr:row>
                <xdr:rowOff>9525</xdr:rowOff>
              </to>
            </anchor>
          </controlPr>
        </control>
      </mc:Choice>
      <mc:Fallback>
        <control shapeId="8195" r:id="rId10" name="ScrollBar2"/>
      </mc:Fallback>
    </mc:AlternateContent>
    <mc:AlternateContent xmlns:mc="http://schemas.openxmlformats.org/markup-compatibility/2006">
      <mc:Choice Requires="x14">
        <control shapeId="8194" r:id="rId11" name="ScrollBar1">
          <controlPr autoLine="0" linkedCell="C15" r:id="rId5">
            <anchor moveWithCells="1">
              <from>
                <xdr:col>3</xdr:col>
                <xdr:colOff>409575</xdr:colOff>
                <xdr:row>13</xdr:row>
                <xdr:rowOff>219075</xdr:rowOff>
              </from>
              <to>
                <xdr:col>3</xdr:col>
                <xdr:colOff>2295525</xdr:colOff>
                <xdr:row>14</xdr:row>
                <xdr:rowOff>219075</xdr:rowOff>
              </to>
            </anchor>
          </controlPr>
        </control>
      </mc:Choice>
      <mc:Fallback>
        <control shapeId="8194" r:id="rId11" name="ScrollBar1"/>
      </mc:Fallback>
    </mc:AlternateContent>
    <mc:AlternateContent xmlns:mc="http://schemas.openxmlformats.org/markup-compatibility/2006">
      <mc:Choice Requires="x14">
        <control shapeId="8193" r:id="rId12" name="Button 1">
          <controlPr defaultSize="0" print="0" autoFill="0" autoPict="0" macro="[0]!Module1.GenerateBillNotes">
            <anchor moveWithCells="1" sizeWithCells="1">
              <from>
                <xdr:col>4</xdr:col>
                <xdr:colOff>38100</xdr:colOff>
                <xdr:row>35</xdr:row>
                <xdr:rowOff>352425</xdr:rowOff>
              </from>
              <to>
                <xdr:col>5</xdr:col>
                <xdr:colOff>19050</xdr:colOff>
                <xdr:row>36</xdr:row>
                <xdr:rowOff>342900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55"/>
  <sheetViews>
    <sheetView view="pageBreakPreview" topLeftCell="A13" zoomScaleNormal="100" zoomScaleSheetLayoutView="100" workbookViewId="0">
      <selection activeCell="H40" sqref="H40"/>
    </sheetView>
  </sheetViews>
  <sheetFormatPr defaultColWidth="9.140625" defaultRowHeight="24.95" customHeight="1" x14ac:dyDescent="0.25"/>
  <cols>
    <col min="1" max="1" width="36.42578125" style="1" customWidth="1"/>
    <col min="2" max="2" width="17.5703125" style="3" customWidth="1"/>
    <col min="3" max="3" width="18.85546875" style="4" customWidth="1"/>
    <col min="4" max="4" width="34.85546875" style="3" customWidth="1"/>
    <col min="5" max="5" width="9.140625" style="4" customWidth="1"/>
    <col min="6" max="16384" width="9.140625" style="4"/>
  </cols>
  <sheetData>
    <row r="1" spans="1:4" ht="23.1" customHeight="1" x14ac:dyDescent="0.25">
      <c r="A1" s="20" t="s">
        <v>53</v>
      </c>
      <c r="B1" s="21"/>
      <c r="C1" s="22"/>
      <c r="D1" s="21"/>
    </row>
    <row r="2" spans="1:4" s="2" customFormat="1" ht="18.95" customHeight="1" x14ac:dyDescent="0.2">
      <c r="A2" s="16" t="s">
        <v>29</v>
      </c>
      <c r="B2" s="17"/>
      <c r="C2" s="18" t="s">
        <v>0</v>
      </c>
      <c r="D2" s="19"/>
    </row>
    <row r="3" spans="1:4" s="2" customFormat="1" ht="18.95" customHeight="1" x14ac:dyDescent="0.2">
      <c r="A3" s="16" t="s">
        <v>30</v>
      </c>
      <c r="B3" s="17"/>
      <c r="C3" s="18" t="s">
        <v>54</v>
      </c>
      <c r="D3" s="19"/>
    </row>
    <row r="4" spans="1:4" s="2" customFormat="1" ht="18.95" customHeight="1" x14ac:dyDescent="0.2">
      <c r="A4" s="16" t="s">
        <v>31</v>
      </c>
      <c r="B4" s="17"/>
      <c r="C4" s="18" t="s">
        <v>51</v>
      </c>
      <c r="D4" s="19"/>
    </row>
    <row r="5" spans="1:4" s="2" customFormat="1" ht="18.95" customHeight="1" x14ac:dyDescent="0.2">
      <c r="A5" s="16" t="s">
        <v>32</v>
      </c>
      <c r="B5" s="17"/>
      <c r="C5" s="18" t="s">
        <v>51</v>
      </c>
      <c r="D5" s="19"/>
    </row>
    <row r="6" spans="1:4" s="2" customFormat="1" ht="18.95" customHeight="1" x14ac:dyDescent="0.2">
      <c r="A6" s="16" t="s">
        <v>33</v>
      </c>
      <c r="B6" s="17"/>
      <c r="C6" s="18" t="s">
        <v>57</v>
      </c>
      <c r="D6" s="19"/>
    </row>
    <row r="7" spans="1:4" s="2" customFormat="1" ht="18.95" customHeight="1" x14ac:dyDescent="0.2">
      <c r="A7" s="16" t="s">
        <v>34</v>
      </c>
      <c r="B7" s="17"/>
      <c r="C7" s="18" t="s">
        <v>56</v>
      </c>
      <c r="D7" s="19"/>
    </row>
    <row r="8" spans="1:4" s="2" customFormat="1" ht="36.75" customHeight="1" x14ac:dyDescent="0.2">
      <c r="A8" s="16" t="s">
        <v>35</v>
      </c>
      <c r="B8" s="17"/>
      <c r="C8" s="18" t="s">
        <v>55</v>
      </c>
      <c r="D8" s="23"/>
    </row>
    <row r="9" spans="1:4" s="2" customFormat="1" ht="18.95" customHeight="1" x14ac:dyDescent="0.2">
      <c r="A9" s="16" t="s">
        <v>36</v>
      </c>
      <c r="B9" s="17"/>
      <c r="C9" s="18" t="s">
        <v>58</v>
      </c>
      <c r="D9" s="19"/>
    </row>
    <row r="10" spans="1:4" s="2" customFormat="1" ht="18.95" customHeight="1" x14ac:dyDescent="0.2">
      <c r="A10" s="16" t="s">
        <v>37</v>
      </c>
      <c r="B10" s="17"/>
      <c r="C10" s="18" t="s">
        <v>4</v>
      </c>
      <c r="D10" s="19"/>
    </row>
    <row r="11" spans="1:4" s="2" customFormat="1" ht="18.95" customHeight="1" x14ac:dyDescent="0.2">
      <c r="A11" s="16" t="s">
        <v>38</v>
      </c>
      <c r="B11" s="17"/>
      <c r="C11" s="24" t="s">
        <v>25</v>
      </c>
      <c r="D11" s="24"/>
    </row>
    <row r="12" spans="1:4" s="2" customFormat="1" ht="18.95" customHeight="1" x14ac:dyDescent="0.2">
      <c r="A12" s="16" t="s">
        <v>39</v>
      </c>
      <c r="B12" s="17"/>
      <c r="C12" s="25">
        <v>45689</v>
      </c>
      <c r="D12" s="19"/>
    </row>
    <row r="13" spans="1:4" s="2" customFormat="1" ht="18.95" customHeight="1" x14ac:dyDescent="0.2">
      <c r="A13" s="16" t="s">
        <v>40</v>
      </c>
      <c r="B13" s="17"/>
      <c r="C13" s="25">
        <v>46053</v>
      </c>
      <c r="D13" s="19"/>
    </row>
    <row r="14" spans="1:4" s="2" customFormat="1" ht="18.95" customHeight="1" x14ac:dyDescent="0.2">
      <c r="A14" s="16" t="s">
        <v>41</v>
      </c>
      <c r="B14" s="17"/>
      <c r="C14" s="25">
        <v>45992</v>
      </c>
      <c r="D14" s="19"/>
    </row>
    <row r="15" spans="1:4" s="2" customFormat="1" ht="18.95" customHeight="1" x14ac:dyDescent="0.2">
      <c r="A15" s="26" t="s">
        <v>42</v>
      </c>
      <c r="B15" s="27"/>
      <c r="C15" s="28" t="s">
        <v>27</v>
      </c>
      <c r="D15" s="19"/>
    </row>
    <row r="16" spans="1:4" s="2" customFormat="1" ht="18.95" customHeight="1" x14ac:dyDescent="0.2">
      <c r="A16" s="16" t="s">
        <v>43</v>
      </c>
      <c r="B16" s="17"/>
      <c r="C16" s="28" t="s">
        <v>27</v>
      </c>
      <c r="D16" s="19"/>
    </row>
    <row r="17" spans="1:4" s="2" customFormat="1" ht="18.95" customHeight="1" x14ac:dyDescent="0.2">
      <c r="A17" s="16" t="s">
        <v>44</v>
      </c>
      <c r="B17" s="17"/>
      <c r="C17" s="18">
        <v>328647</v>
      </c>
      <c r="D17" s="19"/>
    </row>
    <row r="18" spans="1:4" s="2" customFormat="1" ht="18.95" customHeight="1" x14ac:dyDescent="0.2">
      <c r="A18" s="16" t="s">
        <v>45</v>
      </c>
      <c r="B18" s="17"/>
      <c r="C18" s="18">
        <v>251080</v>
      </c>
      <c r="D18" s="19"/>
    </row>
    <row r="19" spans="1:4" s="2" customFormat="1" ht="18.95" customHeight="1" x14ac:dyDescent="0.2">
      <c r="A19" s="16" t="s">
        <v>46</v>
      </c>
      <c r="B19" s="17"/>
      <c r="C19" s="29">
        <v>38119</v>
      </c>
      <c r="D19" s="30"/>
    </row>
    <row r="20" spans="1:4" s="2" customFormat="1" ht="18.95" customHeight="1" x14ac:dyDescent="0.2">
      <c r="A20" s="16" t="s">
        <v>47</v>
      </c>
      <c r="B20" s="17"/>
      <c r="C20" s="31">
        <f>C18+C19</f>
        <v>289199</v>
      </c>
      <c r="D20" s="32"/>
    </row>
    <row r="21" spans="1:4" s="2" customFormat="1" ht="18.95" customHeight="1" x14ac:dyDescent="0.2">
      <c r="A21" s="16" t="s">
        <v>48</v>
      </c>
      <c r="B21" s="17"/>
      <c r="C21" s="18">
        <f>C17-C20</f>
        <v>39448</v>
      </c>
      <c r="D21" s="19"/>
    </row>
    <row r="22" spans="1:4" s="2" customFormat="1" ht="18.95" customHeight="1" x14ac:dyDescent="0.2">
      <c r="A22" s="31" t="s">
        <v>21</v>
      </c>
      <c r="B22" s="32"/>
      <c r="C22" s="24" t="s">
        <v>26</v>
      </c>
      <c r="D22" s="24"/>
    </row>
    <row r="23" spans="1:4" s="2" customFormat="1" ht="18.95" customHeight="1" x14ac:dyDescent="0.2">
      <c r="A23" s="31" t="s">
        <v>49</v>
      </c>
      <c r="B23" s="32"/>
      <c r="C23" s="25">
        <v>45992</v>
      </c>
      <c r="D23" s="19"/>
    </row>
    <row r="24" spans="1:4" s="2" customFormat="1" ht="18.95" customHeight="1" x14ac:dyDescent="0.2">
      <c r="A24" s="31" t="s">
        <v>22</v>
      </c>
      <c r="B24" s="32"/>
      <c r="C24" s="18"/>
      <c r="D24" s="19"/>
    </row>
    <row r="25" spans="1:4" s="2" customFormat="1" ht="18.95" customHeight="1" x14ac:dyDescent="0.2">
      <c r="A25" s="31" t="s">
        <v>23</v>
      </c>
      <c r="B25" s="32"/>
      <c r="C25" s="28" t="s">
        <v>5</v>
      </c>
      <c r="D25" s="19"/>
    </row>
    <row r="26" spans="1:4" s="2" customFormat="1" ht="18.95" customHeight="1" x14ac:dyDescent="0.2">
      <c r="A26" s="31" t="s">
        <v>24</v>
      </c>
      <c r="B26" s="32"/>
      <c r="C26" s="28" t="s">
        <v>5</v>
      </c>
      <c r="D26" s="19"/>
    </row>
    <row r="27" spans="1:4" s="2" customFormat="1" ht="18.95" customHeight="1" x14ac:dyDescent="0.2">
      <c r="A27" s="31" t="s">
        <v>6</v>
      </c>
      <c r="B27" s="32"/>
      <c r="C27" s="28" t="s">
        <v>27</v>
      </c>
      <c r="D27" s="19"/>
    </row>
    <row r="28" spans="1:4" s="2" customFormat="1" ht="18.95" customHeight="1" x14ac:dyDescent="0.2">
      <c r="A28" s="31" t="s">
        <v>8</v>
      </c>
      <c r="B28" s="32"/>
      <c r="C28" s="28" t="s">
        <v>27</v>
      </c>
      <c r="D28" s="19"/>
    </row>
    <row r="29" spans="1:4" s="2" customFormat="1" ht="18.95" customHeight="1" x14ac:dyDescent="0.2">
      <c r="A29" s="33" t="s">
        <v>9</v>
      </c>
      <c r="B29" s="34"/>
      <c r="C29" s="35">
        <v>25</v>
      </c>
      <c r="D29" s="36"/>
    </row>
    <row r="30" spans="1:4" s="2" customFormat="1" ht="18.95" customHeight="1" x14ac:dyDescent="0.2">
      <c r="A30" s="37" t="s">
        <v>10</v>
      </c>
      <c r="B30" s="38"/>
      <c r="C30" s="28" t="s">
        <v>27</v>
      </c>
      <c r="D30" s="19"/>
    </row>
    <row r="31" spans="1:4" s="2" customFormat="1" ht="18.95" customHeight="1" x14ac:dyDescent="0.2">
      <c r="A31" s="37" t="s">
        <v>11</v>
      </c>
      <c r="B31" s="38"/>
      <c r="C31" s="28" t="s">
        <v>27</v>
      </c>
      <c r="D31" s="28"/>
    </row>
    <row r="32" spans="1:4" s="2" customFormat="1" ht="18.95" customHeight="1" x14ac:dyDescent="0.2">
      <c r="A32" s="5" t="s">
        <v>12</v>
      </c>
      <c r="B32" s="6" t="s">
        <v>14</v>
      </c>
      <c r="C32" s="7"/>
      <c r="D32" s="7"/>
    </row>
    <row r="33" spans="1:4" s="2" customFormat="1" ht="18.95" customHeight="1" x14ac:dyDescent="0.2">
      <c r="A33" s="8" t="s">
        <v>15</v>
      </c>
      <c r="B33" s="9">
        <f>ROUND($C$19*0.1,0)</f>
        <v>3812</v>
      </c>
      <c r="C33" s="10"/>
      <c r="D33" s="11"/>
    </row>
    <row r="34" spans="1:4" s="2" customFormat="1" ht="18.95" customHeight="1" x14ac:dyDescent="0.2">
      <c r="A34" s="8" t="s">
        <v>16</v>
      </c>
      <c r="B34" s="9">
        <f>ROUND($C$19*0.02,0)</f>
        <v>762</v>
      </c>
      <c r="C34" s="10"/>
      <c r="D34" s="11"/>
    </row>
    <row r="35" spans="1:4" s="2" customFormat="1" ht="18.95" customHeight="1" x14ac:dyDescent="0.2">
      <c r="A35" s="8" t="s">
        <v>17</v>
      </c>
      <c r="B35" s="12">
        <f>IF(MOD(ROUND($C$19*0.02,0),2)=0,
     ROUND($C$19*0.02,0),
     ROUND($C$19*0.02,0)+1)</f>
        <v>762</v>
      </c>
      <c r="C35" s="10"/>
      <c r="D35" s="11"/>
    </row>
    <row r="36" spans="1:4" s="2" customFormat="1" ht="18.95" customHeight="1" x14ac:dyDescent="0.2">
      <c r="A36" s="8" t="s">
        <v>18</v>
      </c>
      <c r="B36" s="9">
        <f>ROUND($C$19*0.01,0)</f>
        <v>381</v>
      </c>
      <c r="C36" s="10"/>
      <c r="D36" s="11"/>
    </row>
    <row r="37" spans="1:4" s="2" customFormat="1" ht="18.95" customHeight="1" x14ac:dyDescent="0.2">
      <c r="A37" s="8" t="s">
        <v>19</v>
      </c>
      <c r="B37" s="9">
        <v>0</v>
      </c>
      <c r="C37" s="10"/>
      <c r="D37" s="11"/>
    </row>
    <row r="38" spans="1:4" s="2" customFormat="1" ht="18.95" customHeight="1" x14ac:dyDescent="0.2">
      <c r="A38" s="8" t="s">
        <v>20</v>
      </c>
      <c r="B38" s="9">
        <f>C19-SUM(B33:B37)</f>
        <v>32402</v>
      </c>
      <c r="C38" s="10"/>
      <c r="D38" s="11"/>
    </row>
    <row r="39" spans="1:4" s="2" customFormat="1" ht="18.95" customHeight="1" x14ac:dyDescent="0.2">
      <c r="A39" s="8" t="s">
        <v>13</v>
      </c>
      <c r="B39" s="9">
        <f>SUM(B33:C38)</f>
        <v>38119</v>
      </c>
      <c r="C39" s="10"/>
      <c r="D39" s="11"/>
    </row>
    <row r="40" spans="1:4" ht="15.75" x14ac:dyDescent="0.25">
      <c r="A40" s="39" t="s">
        <v>67</v>
      </c>
      <c r="B40" s="40"/>
      <c r="C40" s="40"/>
      <c r="D40" s="40"/>
    </row>
    <row r="41" spans="1:4" ht="15.75" x14ac:dyDescent="0.25">
      <c r="A41" s="40"/>
      <c r="B41" s="40"/>
      <c r="C41" s="40"/>
      <c r="D41" s="40"/>
    </row>
    <row r="42" spans="1:4" ht="15.75" x14ac:dyDescent="0.25">
      <c r="A42" s="40"/>
      <c r="B42" s="40"/>
      <c r="C42" s="40"/>
      <c r="D42" s="40"/>
    </row>
    <row r="43" spans="1:4" ht="15.75" x14ac:dyDescent="0.25">
      <c r="A43" s="40"/>
      <c r="B43" s="40"/>
      <c r="C43" s="40"/>
      <c r="D43" s="40"/>
    </row>
    <row r="44" spans="1:4" ht="15.75" x14ac:dyDescent="0.25">
      <c r="A44" s="40"/>
      <c r="B44" s="40"/>
      <c r="C44" s="40"/>
      <c r="D44" s="40"/>
    </row>
    <row r="45" spans="1:4" ht="15.75" x14ac:dyDescent="0.25">
      <c r="A45" s="40"/>
      <c r="B45" s="40"/>
      <c r="C45" s="40"/>
      <c r="D45" s="40"/>
    </row>
    <row r="46" spans="1:4" ht="15.75" x14ac:dyDescent="0.25">
      <c r="A46" s="40"/>
      <c r="B46" s="40"/>
      <c r="C46" s="40"/>
      <c r="D46" s="40"/>
    </row>
    <row r="47" spans="1:4" ht="15.75" x14ac:dyDescent="0.25">
      <c r="A47" s="40"/>
      <c r="B47" s="40"/>
      <c r="C47" s="40"/>
      <c r="D47" s="40"/>
    </row>
    <row r="48" spans="1:4" ht="15.75" x14ac:dyDescent="0.25">
      <c r="A48" s="40"/>
      <c r="B48" s="40"/>
      <c r="C48" s="40"/>
      <c r="D48" s="40"/>
    </row>
    <row r="49" spans="1:4" ht="15.75" x14ac:dyDescent="0.25">
      <c r="A49" s="40"/>
      <c r="B49" s="40"/>
      <c r="C49" s="40"/>
      <c r="D49" s="40"/>
    </row>
    <row r="50" spans="1:4" ht="24.95" customHeight="1" x14ac:dyDescent="0.25">
      <c r="A50"/>
      <c r="B50"/>
      <c r="C50"/>
      <c r="D50"/>
    </row>
    <row r="51" spans="1:4" ht="24.95" customHeight="1" x14ac:dyDescent="0.25">
      <c r="A51"/>
      <c r="B51"/>
      <c r="C51"/>
      <c r="D51"/>
    </row>
    <row r="52" spans="1:4" ht="24.95" customHeight="1" x14ac:dyDescent="0.25">
      <c r="A52"/>
      <c r="B52"/>
      <c r="C52"/>
      <c r="D52"/>
    </row>
    <row r="53" spans="1:4" ht="24.95" customHeight="1" x14ac:dyDescent="0.25">
      <c r="A53"/>
      <c r="B53"/>
      <c r="C53"/>
      <c r="D53"/>
    </row>
    <row r="54" spans="1:4" ht="24.95" customHeight="1" x14ac:dyDescent="0.25">
      <c r="A54"/>
      <c r="B54"/>
      <c r="C54"/>
      <c r="D54"/>
    </row>
    <row r="55" spans="1:4" ht="24.95" customHeight="1" x14ac:dyDescent="0.25">
      <c r="A55"/>
      <c r="B55"/>
      <c r="C55"/>
      <c r="D55"/>
    </row>
  </sheetData>
  <mergeCells count="62">
    <mergeCell ref="A29:B29"/>
    <mergeCell ref="C29:D29"/>
    <mergeCell ref="A30:B30"/>
    <mergeCell ref="C30:D30"/>
    <mergeCell ref="A31:B31"/>
    <mergeCell ref="C31:D31"/>
    <mergeCell ref="A40:D49"/>
    <mergeCell ref="A26:B26"/>
    <mergeCell ref="C26:D26"/>
    <mergeCell ref="A27:B27"/>
    <mergeCell ref="C27:D27"/>
    <mergeCell ref="A28:B28"/>
    <mergeCell ref="C28:D28"/>
    <mergeCell ref="A23:B23"/>
    <mergeCell ref="C23:D23"/>
    <mergeCell ref="A24:B24"/>
    <mergeCell ref="C24:D24"/>
    <mergeCell ref="A25:B25"/>
    <mergeCell ref="C25:D25"/>
    <mergeCell ref="A20:B20"/>
    <mergeCell ref="C20:D20"/>
    <mergeCell ref="A21:B21"/>
    <mergeCell ref="C21:D21"/>
    <mergeCell ref="A22:B22"/>
    <mergeCell ref="C22:D22"/>
    <mergeCell ref="A17:B17"/>
    <mergeCell ref="C17:D17"/>
    <mergeCell ref="A18:B18"/>
    <mergeCell ref="C18:D18"/>
    <mergeCell ref="A19:B19"/>
    <mergeCell ref="C19:D19"/>
    <mergeCell ref="A14:B14"/>
    <mergeCell ref="C14:D14"/>
    <mergeCell ref="A15:B15"/>
    <mergeCell ref="C15:D15"/>
    <mergeCell ref="A16:B16"/>
    <mergeCell ref="C16:D16"/>
    <mergeCell ref="A11:B11"/>
    <mergeCell ref="C11:D11"/>
    <mergeCell ref="A12:B12"/>
    <mergeCell ref="C12:D12"/>
    <mergeCell ref="A13:B13"/>
    <mergeCell ref="C13:D13"/>
    <mergeCell ref="A8:B8"/>
    <mergeCell ref="C8:D8"/>
    <mergeCell ref="A9:B9"/>
    <mergeCell ref="C9:D9"/>
    <mergeCell ref="A10:B10"/>
    <mergeCell ref="C10:D10"/>
    <mergeCell ref="A5:B5"/>
    <mergeCell ref="C5:D5"/>
    <mergeCell ref="A6:B6"/>
    <mergeCell ref="C6:D6"/>
    <mergeCell ref="A7:B7"/>
    <mergeCell ref="C7:D7"/>
    <mergeCell ref="A4:B4"/>
    <mergeCell ref="C4:D4"/>
    <mergeCell ref="A1:D1"/>
    <mergeCell ref="A2:B2"/>
    <mergeCell ref="C2:D2"/>
    <mergeCell ref="A3:B3"/>
    <mergeCell ref="C3:D3"/>
  </mergeCells>
  <dataValidations count="1">
    <dataValidation type="date" allowBlank="1" showInputMessage="1" showErrorMessage="1" sqref="C12:D14">
      <formula1>43466</formula1>
      <formula2>49310</formula2>
    </dataValidation>
  </dataValidations>
  <printOptions horizontalCentered="1"/>
  <pageMargins left="0.39370078740157477" right="0.39370078740157477" top="0.39370078740157477" bottom="0.86614173228346458" header="0" footer="0"/>
  <pageSetup paperSize="9" scale="84" orientation="portrait" r:id="rId1"/>
  <drawing r:id="rId2"/>
  <legacyDrawing r:id="rId3"/>
  <controls>
    <mc:AlternateContent xmlns:mc="http://schemas.openxmlformats.org/markup-compatibility/2006">
      <mc:Choice Requires="x14">
        <control shapeId="7175" r:id="rId4" name="ScrollBar6">
          <controlPr autoLine="0" r:id="rId5">
            <anchor moveWithCells="1">
              <from>
                <xdr:col>3</xdr:col>
                <xdr:colOff>428625</xdr:colOff>
                <xdr:row>30</xdr:row>
                <xdr:rowOff>19050</xdr:rowOff>
              </from>
              <to>
                <xdr:col>3</xdr:col>
                <xdr:colOff>2314575</xdr:colOff>
                <xdr:row>31</xdr:row>
                <xdr:rowOff>19050</xdr:rowOff>
              </to>
            </anchor>
          </controlPr>
        </control>
      </mc:Choice>
      <mc:Fallback>
        <control shapeId="7175" r:id="rId4" name="ScrollBar6"/>
      </mc:Fallback>
    </mc:AlternateContent>
    <mc:AlternateContent xmlns:mc="http://schemas.openxmlformats.org/markup-compatibility/2006">
      <mc:Choice Requires="x14">
        <control shapeId="7174" r:id="rId6" name="ScrollBar5">
          <controlPr autoLine="0" r:id="rId5">
            <anchor moveWithCells="1">
              <from>
                <xdr:col>3</xdr:col>
                <xdr:colOff>438150</xdr:colOff>
                <xdr:row>28</xdr:row>
                <xdr:rowOff>228600</xdr:rowOff>
              </from>
              <to>
                <xdr:col>4</xdr:col>
                <xdr:colOff>0</xdr:colOff>
                <xdr:row>29</xdr:row>
                <xdr:rowOff>228600</xdr:rowOff>
              </to>
            </anchor>
          </controlPr>
        </control>
      </mc:Choice>
      <mc:Fallback>
        <control shapeId="7174" r:id="rId6" name="ScrollBar5"/>
      </mc:Fallback>
    </mc:AlternateContent>
    <mc:AlternateContent xmlns:mc="http://schemas.openxmlformats.org/markup-compatibility/2006">
      <mc:Choice Requires="x14">
        <control shapeId="7173" r:id="rId7" name="ScrollBar4">
          <controlPr autoLine="0" r:id="rId5">
            <anchor moveWithCells="1">
              <from>
                <xdr:col>3</xdr:col>
                <xdr:colOff>447675</xdr:colOff>
                <xdr:row>27</xdr:row>
                <xdr:rowOff>19050</xdr:rowOff>
              </from>
              <to>
                <xdr:col>4</xdr:col>
                <xdr:colOff>9525</xdr:colOff>
                <xdr:row>28</xdr:row>
                <xdr:rowOff>19050</xdr:rowOff>
              </to>
            </anchor>
          </controlPr>
        </control>
      </mc:Choice>
      <mc:Fallback>
        <control shapeId="7173" r:id="rId7" name="ScrollBar4"/>
      </mc:Fallback>
    </mc:AlternateContent>
    <mc:AlternateContent xmlns:mc="http://schemas.openxmlformats.org/markup-compatibility/2006">
      <mc:Choice Requires="x14">
        <control shapeId="7172" r:id="rId8" name="ScrollBar3">
          <controlPr autoLine="0" r:id="rId5">
            <anchor moveWithCells="1">
              <from>
                <xdr:col>3</xdr:col>
                <xdr:colOff>438150</xdr:colOff>
                <xdr:row>26</xdr:row>
                <xdr:rowOff>0</xdr:rowOff>
              </from>
              <to>
                <xdr:col>4</xdr:col>
                <xdr:colOff>0</xdr:colOff>
                <xdr:row>27</xdr:row>
                <xdr:rowOff>0</xdr:rowOff>
              </to>
            </anchor>
          </controlPr>
        </control>
      </mc:Choice>
      <mc:Fallback>
        <control shapeId="7172" r:id="rId8" name="ScrollBar3"/>
      </mc:Fallback>
    </mc:AlternateContent>
    <mc:AlternateContent xmlns:mc="http://schemas.openxmlformats.org/markup-compatibility/2006">
      <mc:Choice Requires="x14">
        <control shapeId="7171" r:id="rId9" name="ScrollBar2">
          <controlPr autoLine="0" r:id="rId5">
            <anchor moveWithCells="1">
              <from>
                <xdr:col>3</xdr:col>
                <xdr:colOff>438150</xdr:colOff>
                <xdr:row>15</xdr:row>
                <xdr:rowOff>9525</xdr:rowOff>
              </from>
              <to>
                <xdr:col>4</xdr:col>
                <xdr:colOff>0</xdr:colOff>
                <xdr:row>16</xdr:row>
                <xdr:rowOff>9525</xdr:rowOff>
              </to>
            </anchor>
          </controlPr>
        </control>
      </mc:Choice>
      <mc:Fallback>
        <control shapeId="7171" r:id="rId9" name="ScrollBar2"/>
      </mc:Fallback>
    </mc:AlternateContent>
    <mc:AlternateContent xmlns:mc="http://schemas.openxmlformats.org/markup-compatibility/2006">
      <mc:Choice Requires="x14">
        <control shapeId="7170" r:id="rId10" name="ScrollBar1">
          <controlPr autoLine="0" linkedCell="C15" r:id="rId5">
            <anchor moveWithCells="1">
              <from>
                <xdr:col>3</xdr:col>
                <xdr:colOff>409575</xdr:colOff>
                <xdr:row>13</xdr:row>
                <xdr:rowOff>219075</xdr:rowOff>
              </from>
              <to>
                <xdr:col>3</xdr:col>
                <xdr:colOff>2295525</xdr:colOff>
                <xdr:row>14</xdr:row>
                <xdr:rowOff>219075</xdr:rowOff>
              </to>
            </anchor>
          </controlPr>
        </control>
      </mc:Choice>
      <mc:Fallback>
        <control shapeId="7170" r:id="rId10" name="ScrollBar1"/>
      </mc:Fallback>
    </mc:AlternateContent>
    <mc:AlternateContent xmlns:mc="http://schemas.openxmlformats.org/markup-compatibility/2006">
      <mc:Choice Requires="x14">
        <control shapeId="7169" r:id="rId11" name="Button 1">
          <controlPr defaultSize="0" print="0" autoFill="0" autoPict="0" macro="[0]!Module1.GenerateBillNotes">
            <anchor moveWithCells="1" sizeWithCells="1">
              <from>
                <xdr:col>4</xdr:col>
                <xdr:colOff>38100</xdr:colOff>
                <xdr:row>35</xdr:row>
                <xdr:rowOff>352425</xdr:rowOff>
              </from>
              <to>
                <xdr:col>5</xdr:col>
                <xdr:colOff>19050</xdr:colOff>
                <xdr:row>36</xdr:row>
                <xdr:rowOff>342900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D55"/>
  <sheetViews>
    <sheetView tabSelected="1" view="pageBreakPreview" topLeftCell="A37" zoomScaleNormal="100" zoomScaleSheetLayoutView="100" workbookViewId="0">
      <selection activeCell="J30" sqref="J30"/>
    </sheetView>
  </sheetViews>
  <sheetFormatPr defaultColWidth="9.140625" defaultRowHeight="24.95" customHeight="1" x14ac:dyDescent="0.25"/>
  <cols>
    <col min="1" max="1" width="36.42578125" style="45" customWidth="1"/>
    <col min="2" max="2" width="17.5703125" style="14" customWidth="1"/>
    <col min="3" max="3" width="18.85546875" style="15" customWidth="1"/>
    <col min="4" max="4" width="34.85546875" style="14" customWidth="1"/>
    <col min="5" max="5" width="9.140625" style="15" customWidth="1"/>
    <col min="6" max="16384" width="9.140625" style="15"/>
  </cols>
  <sheetData>
    <row r="1" spans="1:4" ht="23.1" customHeight="1" x14ac:dyDescent="0.25">
      <c r="A1" s="20" t="s">
        <v>28</v>
      </c>
      <c r="B1" s="21"/>
      <c r="C1" s="22"/>
      <c r="D1" s="21"/>
    </row>
    <row r="2" spans="1:4" s="41" customFormat="1" ht="18.95" customHeight="1" x14ac:dyDescent="0.2">
      <c r="A2" s="16" t="s">
        <v>29</v>
      </c>
      <c r="B2" s="17"/>
      <c r="C2" s="18" t="s">
        <v>0</v>
      </c>
      <c r="D2" s="19"/>
    </row>
    <row r="3" spans="1:4" s="41" customFormat="1" ht="18.95" customHeight="1" x14ac:dyDescent="0.2">
      <c r="A3" s="16" t="s">
        <v>30</v>
      </c>
      <c r="B3" s="17"/>
      <c r="C3" s="18" t="s">
        <v>52</v>
      </c>
      <c r="D3" s="19"/>
    </row>
    <row r="4" spans="1:4" s="41" customFormat="1" ht="18.95" customHeight="1" x14ac:dyDescent="0.2">
      <c r="A4" s="16" t="s">
        <v>31</v>
      </c>
      <c r="B4" s="17"/>
      <c r="C4" s="18" t="s">
        <v>51</v>
      </c>
      <c r="D4" s="19"/>
    </row>
    <row r="5" spans="1:4" s="41" customFormat="1" ht="18.95" customHeight="1" x14ac:dyDescent="0.2">
      <c r="A5" s="16" t="s">
        <v>32</v>
      </c>
      <c r="B5" s="17"/>
      <c r="C5" s="18" t="s">
        <v>51</v>
      </c>
      <c r="D5" s="19"/>
    </row>
    <row r="6" spans="1:4" s="41" customFormat="1" ht="18.95" customHeight="1" x14ac:dyDescent="0.2">
      <c r="A6" s="16" t="s">
        <v>33</v>
      </c>
      <c r="B6" s="17"/>
      <c r="C6" s="18" t="s">
        <v>50</v>
      </c>
      <c r="D6" s="19"/>
    </row>
    <row r="7" spans="1:4" s="41" customFormat="1" ht="18.95" customHeight="1" x14ac:dyDescent="0.2">
      <c r="A7" s="16" t="s">
        <v>34</v>
      </c>
      <c r="B7" s="17"/>
      <c r="C7" s="18" t="s">
        <v>1</v>
      </c>
      <c r="D7" s="19"/>
    </row>
    <row r="8" spans="1:4" s="41" customFormat="1" ht="36.75" customHeight="1" x14ac:dyDescent="0.2">
      <c r="A8" s="16" t="s">
        <v>35</v>
      </c>
      <c r="B8" s="17"/>
      <c r="C8" s="18" t="s">
        <v>2</v>
      </c>
      <c r="D8" s="23"/>
    </row>
    <row r="9" spans="1:4" s="41" customFormat="1" ht="18.95" customHeight="1" x14ac:dyDescent="0.2">
      <c r="A9" s="16" t="s">
        <v>36</v>
      </c>
      <c r="B9" s="17"/>
      <c r="C9" s="18" t="s">
        <v>3</v>
      </c>
      <c r="D9" s="19"/>
    </row>
    <row r="10" spans="1:4" s="41" customFormat="1" ht="18.95" customHeight="1" x14ac:dyDescent="0.2">
      <c r="A10" s="16" t="s">
        <v>37</v>
      </c>
      <c r="B10" s="17"/>
      <c r="C10" s="18" t="s">
        <v>4</v>
      </c>
      <c r="D10" s="19"/>
    </row>
    <row r="11" spans="1:4" s="41" customFormat="1" ht="18.95" customHeight="1" x14ac:dyDescent="0.2">
      <c r="A11" s="16" t="s">
        <v>38</v>
      </c>
      <c r="B11" s="17"/>
      <c r="C11" s="24" t="s">
        <v>25</v>
      </c>
      <c r="D11" s="24"/>
    </row>
    <row r="12" spans="1:4" s="41" customFormat="1" ht="18.95" customHeight="1" x14ac:dyDescent="0.2">
      <c r="A12" s="16" t="s">
        <v>39</v>
      </c>
      <c r="B12" s="17"/>
      <c r="C12" s="25">
        <v>45992</v>
      </c>
      <c r="D12" s="19"/>
    </row>
    <row r="13" spans="1:4" s="41" customFormat="1" ht="18.95" customHeight="1" x14ac:dyDescent="0.2">
      <c r="A13" s="16" t="s">
        <v>40</v>
      </c>
      <c r="B13" s="17"/>
      <c r="C13" s="25">
        <v>45704</v>
      </c>
      <c r="D13" s="19"/>
    </row>
    <row r="14" spans="1:4" s="41" customFormat="1" ht="18.95" customHeight="1" x14ac:dyDescent="0.2">
      <c r="A14" s="16" t="s">
        <v>41</v>
      </c>
      <c r="B14" s="17"/>
      <c r="C14" s="25">
        <v>48197</v>
      </c>
      <c r="D14" s="19"/>
    </row>
    <row r="15" spans="1:4" s="41" customFormat="1" ht="18.95" customHeight="1" x14ac:dyDescent="0.2">
      <c r="A15" s="26" t="s">
        <v>42</v>
      </c>
      <c r="B15" s="27"/>
      <c r="C15" s="28" t="s">
        <v>27</v>
      </c>
      <c r="D15" s="19"/>
    </row>
    <row r="16" spans="1:4" s="41" customFormat="1" ht="18.95" customHeight="1" x14ac:dyDescent="0.2">
      <c r="A16" s="16" t="s">
        <v>43</v>
      </c>
      <c r="B16" s="17"/>
      <c r="C16" s="28" t="s">
        <v>7</v>
      </c>
      <c r="D16" s="19"/>
    </row>
    <row r="17" spans="1:4" s="41" customFormat="1" ht="18.95" customHeight="1" x14ac:dyDescent="0.2">
      <c r="A17" s="16" t="s">
        <v>44</v>
      </c>
      <c r="B17" s="17"/>
      <c r="C17" s="18">
        <v>5678</v>
      </c>
      <c r="D17" s="19"/>
    </row>
    <row r="18" spans="1:4" s="41" customFormat="1" ht="18.95" customHeight="1" x14ac:dyDescent="0.2">
      <c r="A18" s="16" t="s">
        <v>45</v>
      </c>
      <c r="B18" s="17"/>
      <c r="C18" s="18">
        <v>250</v>
      </c>
      <c r="D18" s="19"/>
    </row>
    <row r="19" spans="1:4" s="41" customFormat="1" ht="18.95" customHeight="1" x14ac:dyDescent="0.2">
      <c r="A19" s="16" t="s">
        <v>46</v>
      </c>
      <c r="B19" s="17"/>
      <c r="C19" s="29">
        <v>750</v>
      </c>
      <c r="D19" s="30"/>
    </row>
    <row r="20" spans="1:4" s="41" customFormat="1" ht="18.95" customHeight="1" x14ac:dyDescent="0.2">
      <c r="A20" s="16" t="s">
        <v>47</v>
      </c>
      <c r="B20" s="17"/>
      <c r="C20" s="31">
        <f>C18+C19</f>
        <v>1000</v>
      </c>
      <c r="D20" s="32"/>
    </row>
    <row r="21" spans="1:4" s="41" customFormat="1" ht="18.95" customHeight="1" x14ac:dyDescent="0.2">
      <c r="A21" s="16" t="s">
        <v>48</v>
      </c>
      <c r="B21" s="17"/>
      <c r="C21" s="18">
        <f>C17-C20</f>
        <v>4678</v>
      </c>
      <c r="D21" s="19"/>
    </row>
    <row r="22" spans="1:4" s="41" customFormat="1" ht="18.95" customHeight="1" x14ac:dyDescent="0.2">
      <c r="A22" s="31" t="s">
        <v>21</v>
      </c>
      <c r="B22" s="32"/>
      <c r="C22" s="24" t="s">
        <v>26</v>
      </c>
      <c r="D22" s="24"/>
    </row>
    <row r="23" spans="1:4" s="41" customFormat="1" ht="18.95" customHeight="1" x14ac:dyDescent="0.2">
      <c r="A23" s="31" t="s">
        <v>49</v>
      </c>
      <c r="B23" s="32"/>
      <c r="C23" s="18"/>
      <c r="D23" s="19"/>
    </row>
    <row r="24" spans="1:4" s="41" customFormat="1" ht="18.95" customHeight="1" x14ac:dyDescent="0.2">
      <c r="A24" s="31" t="s">
        <v>22</v>
      </c>
      <c r="B24" s="32"/>
      <c r="C24" s="18"/>
      <c r="D24" s="19"/>
    </row>
    <row r="25" spans="1:4" s="41" customFormat="1" ht="18.95" customHeight="1" x14ac:dyDescent="0.2">
      <c r="A25" s="31" t="s">
        <v>23</v>
      </c>
      <c r="B25" s="32"/>
      <c r="C25" s="28" t="s">
        <v>5</v>
      </c>
      <c r="D25" s="19"/>
    </row>
    <row r="26" spans="1:4" s="41" customFormat="1" ht="18.95" customHeight="1" x14ac:dyDescent="0.2">
      <c r="A26" s="31" t="s">
        <v>24</v>
      </c>
      <c r="B26" s="32"/>
      <c r="C26" s="28" t="s">
        <v>5</v>
      </c>
      <c r="D26" s="19"/>
    </row>
    <row r="27" spans="1:4" s="41" customFormat="1" ht="18.95" customHeight="1" x14ac:dyDescent="0.2">
      <c r="A27" s="31" t="s">
        <v>6</v>
      </c>
      <c r="B27" s="32"/>
      <c r="C27" s="28" t="s">
        <v>27</v>
      </c>
      <c r="D27" s="19"/>
    </row>
    <row r="28" spans="1:4" s="41" customFormat="1" ht="18.95" customHeight="1" x14ac:dyDescent="0.2">
      <c r="A28" s="31" t="s">
        <v>8</v>
      </c>
      <c r="B28" s="32"/>
      <c r="C28" s="28" t="s">
        <v>7</v>
      </c>
      <c r="D28" s="19"/>
    </row>
    <row r="29" spans="1:4" s="41" customFormat="1" ht="18.95" customHeight="1" x14ac:dyDescent="0.2">
      <c r="A29" s="33" t="s">
        <v>9</v>
      </c>
      <c r="B29" s="34"/>
      <c r="C29" s="35">
        <v>25</v>
      </c>
      <c r="D29" s="36"/>
    </row>
    <row r="30" spans="1:4" s="41" customFormat="1" ht="18.95" customHeight="1" x14ac:dyDescent="0.2">
      <c r="A30" s="37" t="s">
        <v>10</v>
      </c>
      <c r="B30" s="38"/>
      <c r="C30" s="28" t="s">
        <v>27</v>
      </c>
      <c r="D30" s="19"/>
    </row>
    <row r="31" spans="1:4" s="41" customFormat="1" ht="18.95" customHeight="1" x14ac:dyDescent="0.2">
      <c r="A31" s="37" t="s">
        <v>11</v>
      </c>
      <c r="B31" s="38"/>
      <c r="C31" s="28" t="s">
        <v>27</v>
      </c>
      <c r="D31" s="28"/>
    </row>
    <row r="32" spans="1:4" s="41" customFormat="1" ht="18.95" customHeight="1" x14ac:dyDescent="0.2">
      <c r="A32" s="13" t="s">
        <v>12</v>
      </c>
      <c r="B32" s="6" t="s">
        <v>14</v>
      </c>
      <c r="C32" s="7"/>
      <c r="D32" s="7"/>
    </row>
    <row r="33" spans="1:4" s="41" customFormat="1" ht="18.95" customHeight="1" x14ac:dyDescent="0.2">
      <c r="A33" s="8" t="s">
        <v>15</v>
      </c>
      <c r="B33" s="9">
        <f>ROUND($C$19*0.1,0)</f>
        <v>75</v>
      </c>
      <c r="C33" s="10"/>
      <c r="D33" s="11"/>
    </row>
    <row r="34" spans="1:4" s="41" customFormat="1" ht="18.95" customHeight="1" x14ac:dyDescent="0.2">
      <c r="A34" s="8" t="s">
        <v>16</v>
      </c>
      <c r="B34" s="9">
        <f>ROUND($C$19*0.02,0)</f>
        <v>15</v>
      </c>
      <c r="C34" s="10"/>
      <c r="D34" s="11"/>
    </row>
    <row r="35" spans="1:4" s="41" customFormat="1" ht="18.95" customHeight="1" x14ac:dyDescent="0.2">
      <c r="A35" s="8" t="s">
        <v>17</v>
      </c>
      <c r="B35" s="12">
        <f>IF(MOD(ROUND($C$19*0.02,0),2)=0,
     ROUND($C$19*0.02,0),
     ROUND($C$19*0.02,0)+1)</f>
        <v>16</v>
      </c>
      <c r="C35" s="10"/>
      <c r="D35" s="11"/>
    </row>
    <row r="36" spans="1:4" s="41" customFormat="1" ht="18.95" customHeight="1" x14ac:dyDescent="0.2">
      <c r="A36" s="8" t="s">
        <v>18</v>
      </c>
      <c r="B36" s="9">
        <f>ROUND($C$19*0.01,0)</f>
        <v>8</v>
      </c>
      <c r="C36" s="10"/>
      <c r="D36" s="11"/>
    </row>
    <row r="37" spans="1:4" s="41" customFormat="1" ht="18.95" customHeight="1" x14ac:dyDescent="0.2">
      <c r="A37" s="8" t="s">
        <v>19</v>
      </c>
      <c r="B37" s="9">
        <v>0</v>
      </c>
      <c r="C37" s="10"/>
      <c r="D37" s="11"/>
    </row>
    <row r="38" spans="1:4" s="41" customFormat="1" ht="18.95" customHeight="1" x14ac:dyDescent="0.2">
      <c r="A38" s="8" t="s">
        <v>20</v>
      </c>
      <c r="B38" s="9">
        <f>C19-SUM(B33:B37)</f>
        <v>636</v>
      </c>
      <c r="C38" s="10"/>
      <c r="D38" s="11"/>
    </row>
    <row r="39" spans="1:4" s="41" customFormat="1" ht="18.95" customHeight="1" x14ac:dyDescent="0.2">
      <c r="A39" s="8" t="s">
        <v>13</v>
      </c>
      <c r="B39" s="9">
        <f>SUM(B33:C38)</f>
        <v>750</v>
      </c>
      <c r="C39" s="10"/>
      <c r="D39" s="11"/>
    </row>
    <row r="40" spans="1:4" ht="15.75" x14ac:dyDescent="0.25">
      <c r="A40" s="42" t="s">
        <v>65</v>
      </c>
      <c r="B40" s="43"/>
      <c r="C40" s="43"/>
      <c r="D40" s="43"/>
    </row>
    <row r="41" spans="1:4" ht="15.75" x14ac:dyDescent="0.25">
      <c r="A41" s="43"/>
      <c r="B41" s="43"/>
      <c r="C41" s="43"/>
      <c r="D41" s="43"/>
    </row>
    <row r="42" spans="1:4" ht="15.75" x14ac:dyDescent="0.25">
      <c r="A42" s="43"/>
      <c r="B42" s="43"/>
      <c r="C42" s="43"/>
      <c r="D42" s="43"/>
    </row>
    <row r="43" spans="1:4" ht="15.75" x14ac:dyDescent="0.25">
      <c r="A43" s="43"/>
      <c r="B43" s="43"/>
      <c r="C43" s="43"/>
      <c r="D43" s="43"/>
    </row>
    <row r="44" spans="1:4" ht="15.75" x14ac:dyDescent="0.25">
      <c r="A44" s="43"/>
      <c r="B44" s="43"/>
      <c r="C44" s="43"/>
      <c r="D44" s="43"/>
    </row>
    <row r="45" spans="1:4" ht="15.75" x14ac:dyDescent="0.25">
      <c r="A45" s="43"/>
      <c r="B45" s="43"/>
      <c r="C45" s="43"/>
      <c r="D45" s="43"/>
    </row>
    <row r="46" spans="1:4" ht="15.75" x14ac:dyDescent="0.25">
      <c r="A46" s="43"/>
      <c r="B46" s="43"/>
      <c r="C46" s="43"/>
      <c r="D46" s="43"/>
    </row>
    <row r="47" spans="1:4" ht="15.75" x14ac:dyDescent="0.25">
      <c r="A47" s="43"/>
      <c r="B47" s="43"/>
      <c r="C47" s="43"/>
      <c r="D47" s="43"/>
    </row>
    <row r="48" spans="1:4" ht="15.75" x14ac:dyDescent="0.25">
      <c r="A48" s="43"/>
      <c r="B48" s="43"/>
      <c r="C48" s="43"/>
      <c r="D48" s="43"/>
    </row>
    <row r="49" spans="1:4" ht="15.75" x14ac:dyDescent="0.25">
      <c r="A49" s="43"/>
      <c r="B49" s="43"/>
      <c r="C49" s="43"/>
      <c r="D49" s="43"/>
    </row>
    <row r="50" spans="1:4" ht="15.75" x14ac:dyDescent="0.25">
      <c r="A50" s="43"/>
      <c r="B50" s="43"/>
      <c r="C50" s="43"/>
      <c r="D50" s="43"/>
    </row>
    <row r="51" spans="1:4" ht="15.75" x14ac:dyDescent="0.25">
      <c r="A51" s="43"/>
      <c r="B51" s="43"/>
      <c r="C51" s="43"/>
      <c r="D51" s="43"/>
    </row>
    <row r="52" spans="1:4" ht="24.95" customHeight="1" x14ac:dyDescent="0.25">
      <c r="A52" s="44"/>
      <c r="B52" s="44"/>
      <c r="C52" s="44"/>
      <c r="D52" s="44"/>
    </row>
    <row r="53" spans="1:4" ht="24.95" customHeight="1" x14ac:dyDescent="0.25">
      <c r="A53" s="44"/>
      <c r="B53" s="44"/>
      <c r="C53" s="44"/>
      <c r="D53" s="44"/>
    </row>
    <row r="54" spans="1:4" ht="24.95" customHeight="1" x14ac:dyDescent="0.25">
      <c r="A54" s="44"/>
      <c r="B54" s="44"/>
      <c r="C54" s="44"/>
      <c r="D54" s="44"/>
    </row>
    <row r="55" spans="1:4" ht="24.95" customHeight="1" x14ac:dyDescent="0.25">
      <c r="A55" s="44"/>
      <c r="B55" s="44"/>
      <c r="C55" s="44"/>
      <c r="D55" s="44"/>
    </row>
  </sheetData>
  <mergeCells count="62">
    <mergeCell ref="A4:B4"/>
    <mergeCell ref="C4:D4"/>
    <mergeCell ref="A1:D1"/>
    <mergeCell ref="A2:B2"/>
    <mergeCell ref="C2:D2"/>
    <mergeCell ref="A3:B3"/>
    <mergeCell ref="C3:D3"/>
    <mergeCell ref="A5:B5"/>
    <mergeCell ref="C5:D5"/>
    <mergeCell ref="A6:B6"/>
    <mergeCell ref="C6:D6"/>
    <mergeCell ref="A7:B7"/>
    <mergeCell ref="C7:D7"/>
    <mergeCell ref="A8:B8"/>
    <mergeCell ref="C8:D8"/>
    <mergeCell ref="A9:B9"/>
    <mergeCell ref="C9:D9"/>
    <mergeCell ref="A10:B10"/>
    <mergeCell ref="C10:D10"/>
    <mergeCell ref="A11:B11"/>
    <mergeCell ref="C11:D11"/>
    <mergeCell ref="A12:B12"/>
    <mergeCell ref="C12:D12"/>
    <mergeCell ref="A13:B13"/>
    <mergeCell ref="C13:D13"/>
    <mergeCell ref="A14:B14"/>
    <mergeCell ref="C14:D14"/>
    <mergeCell ref="A15:B15"/>
    <mergeCell ref="C15:D15"/>
    <mergeCell ref="A16:B16"/>
    <mergeCell ref="C16:D16"/>
    <mergeCell ref="A17:B17"/>
    <mergeCell ref="C17:D17"/>
    <mergeCell ref="A18:B18"/>
    <mergeCell ref="C18:D18"/>
    <mergeCell ref="A19:B19"/>
    <mergeCell ref="C19:D19"/>
    <mergeCell ref="A20:B20"/>
    <mergeCell ref="C20:D20"/>
    <mergeCell ref="A21:B21"/>
    <mergeCell ref="C21:D21"/>
    <mergeCell ref="A22:B22"/>
    <mergeCell ref="C22:D22"/>
    <mergeCell ref="A23:B23"/>
    <mergeCell ref="C23:D23"/>
    <mergeCell ref="A24:B24"/>
    <mergeCell ref="C24:D24"/>
    <mergeCell ref="A25:B25"/>
    <mergeCell ref="C25:D25"/>
    <mergeCell ref="A26:B26"/>
    <mergeCell ref="C26:D26"/>
    <mergeCell ref="A27:B27"/>
    <mergeCell ref="C27:D27"/>
    <mergeCell ref="A28:B28"/>
    <mergeCell ref="C28:D28"/>
    <mergeCell ref="A29:B29"/>
    <mergeCell ref="C29:D29"/>
    <mergeCell ref="A30:B30"/>
    <mergeCell ref="C30:D30"/>
    <mergeCell ref="A31:B31"/>
    <mergeCell ref="C31:D31"/>
    <mergeCell ref="A40:D51"/>
  </mergeCells>
  <dataValidations count="1">
    <dataValidation type="date" allowBlank="1" showInputMessage="1" showErrorMessage="1" sqref="C12:D14">
      <formula1>43466</formula1>
      <formula2>49310</formula2>
    </dataValidation>
  </dataValidations>
  <printOptions horizontalCentered="1"/>
  <pageMargins left="0.39370078740157477" right="0.39370078740157477" top="0.39370078740157477" bottom="0.59055118110236215" header="0" footer="0"/>
  <pageSetup paperSize="9" scale="83" orientation="portrait" r:id="rId1"/>
  <drawing r:id="rId2"/>
  <legacyDrawing r:id="rId3"/>
  <controls>
    <mc:AlternateContent xmlns:mc="http://schemas.openxmlformats.org/markup-compatibility/2006">
      <mc:Choice Requires="x14">
        <control shapeId="6146" r:id="rId4" name="ScrollBar1">
          <controlPr autoLine="0" linkedCell="C15" r:id="rId5">
            <anchor moveWithCells="1">
              <from>
                <xdr:col>3</xdr:col>
                <xdr:colOff>409575</xdr:colOff>
                <xdr:row>13</xdr:row>
                <xdr:rowOff>219075</xdr:rowOff>
              </from>
              <to>
                <xdr:col>3</xdr:col>
                <xdr:colOff>2295525</xdr:colOff>
                <xdr:row>14</xdr:row>
                <xdr:rowOff>219075</xdr:rowOff>
              </to>
            </anchor>
          </controlPr>
        </control>
      </mc:Choice>
      <mc:Fallback>
        <control shapeId="6146" r:id="rId4" name="ScrollBar1"/>
      </mc:Fallback>
    </mc:AlternateContent>
    <mc:AlternateContent xmlns:mc="http://schemas.openxmlformats.org/markup-compatibility/2006">
      <mc:Choice Requires="x14">
        <control shapeId="6147" r:id="rId6" name="ScrollBar2">
          <controlPr autoLine="0" r:id="rId7">
            <anchor moveWithCells="1">
              <from>
                <xdr:col>3</xdr:col>
                <xdr:colOff>438150</xdr:colOff>
                <xdr:row>15</xdr:row>
                <xdr:rowOff>9525</xdr:rowOff>
              </from>
              <to>
                <xdr:col>4</xdr:col>
                <xdr:colOff>0</xdr:colOff>
                <xdr:row>16</xdr:row>
                <xdr:rowOff>9525</xdr:rowOff>
              </to>
            </anchor>
          </controlPr>
        </control>
      </mc:Choice>
      <mc:Fallback>
        <control shapeId="6147" r:id="rId6" name="ScrollBar2"/>
      </mc:Fallback>
    </mc:AlternateContent>
    <mc:AlternateContent xmlns:mc="http://schemas.openxmlformats.org/markup-compatibility/2006">
      <mc:Choice Requires="x14">
        <control shapeId="6148" r:id="rId8" name="ScrollBar3">
          <controlPr autoLine="0" r:id="rId5">
            <anchor moveWithCells="1">
              <from>
                <xdr:col>3</xdr:col>
                <xdr:colOff>438150</xdr:colOff>
                <xdr:row>26</xdr:row>
                <xdr:rowOff>0</xdr:rowOff>
              </from>
              <to>
                <xdr:col>4</xdr:col>
                <xdr:colOff>0</xdr:colOff>
                <xdr:row>27</xdr:row>
                <xdr:rowOff>0</xdr:rowOff>
              </to>
            </anchor>
          </controlPr>
        </control>
      </mc:Choice>
      <mc:Fallback>
        <control shapeId="6148" r:id="rId8" name="ScrollBar3"/>
      </mc:Fallback>
    </mc:AlternateContent>
    <mc:AlternateContent xmlns:mc="http://schemas.openxmlformats.org/markup-compatibility/2006">
      <mc:Choice Requires="x14">
        <control shapeId="6149" r:id="rId9" name="ScrollBar4">
          <controlPr autoLine="0" r:id="rId7">
            <anchor moveWithCells="1">
              <from>
                <xdr:col>3</xdr:col>
                <xdr:colOff>447675</xdr:colOff>
                <xdr:row>27</xdr:row>
                <xdr:rowOff>19050</xdr:rowOff>
              </from>
              <to>
                <xdr:col>4</xdr:col>
                <xdr:colOff>9525</xdr:colOff>
                <xdr:row>28</xdr:row>
                <xdr:rowOff>19050</xdr:rowOff>
              </to>
            </anchor>
          </controlPr>
        </control>
      </mc:Choice>
      <mc:Fallback>
        <control shapeId="6149" r:id="rId9" name="ScrollBar4"/>
      </mc:Fallback>
    </mc:AlternateContent>
    <mc:AlternateContent xmlns:mc="http://schemas.openxmlformats.org/markup-compatibility/2006">
      <mc:Choice Requires="x14">
        <control shapeId="6150" r:id="rId10" name="ScrollBar5">
          <controlPr autoLine="0" r:id="rId5">
            <anchor moveWithCells="1">
              <from>
                <xdr:col>3</xdr:col>
                <xdr:colOff>438150</xdr:colOff>
                <xdr:row>28</xdr:row>
                <xdr:rowOff>228600</xdr:rowOff>
              </from>
              <to>
                <xdr:col>4</xdr:col>
                <xdr:colOff>0</xdr:colOff>
                <xdr:row>29</xdr:row>
                <xdr:rowOff>228600</xdr:rowOff>
              </to>
            </anchor>
          </controlPr>
        </control>
      </mc:Choice>
      <mc:Fallback>
        <control shapeId="6150" r:id="rId10" name="ScrollBar5"/>
      </mc:Fallback>
    </mc:AlternateContent>
    <mc:AlternateContent xmlns:mc="http://schemas.openxmlformats.org/markup-compatibility/2006">
      <mc:Choice Requires="x14">
        <control shapeId="6151" r:id="rId11" name="ScrollBar6">
          <controlPr autoLine="0" r:id="rId5">
            <anchor moveWithCells="1">
              <from>
                <xdr:col>3</xdr:col>
                <xdr:colOff>428625</xdr:colOff>
                <xdr:row>30</xdr:row>
                <xdr:rowOff>19050</xdr:rowOff>
              </from>
              <to>
                <xdr:col>3</xdr:col>
                <xdr:colOff>2314575</xdr:colOff>
                <xdr:row>31</xdr:row>
                <xdr:rowOff>19050</xdr:rowOff>
              </to>
            </anchor>
          </controlPr>
        </control>
      </mc:Choice>
      <mc:Fallback>
        <control shapeId="6151" r:id="rId11" name="ScrollBar6"/>
      </mc:Fallback>
    </mc:AlternateContent>
    <mc:AlternateContent xmlns:mc="http://schemas.openxmlformats.org/markup-compatibility/2006">
      <mc:Choice Requires="x14">
        <control shapeId="6145" r:id="rId12" name="Button 1">
          <controlPr defaultSize="0" print="0" autoFill="0" autoPict="0" macro="[0]!Module1.GenerateBillNotes">
            <anchor moveWithCells="1" sizeWithCells="1">
              <from>
                <xdr:col>4</xdr:col>
                <xdr:colOff>38100</xdr:colOff>
                <xdr:row>35</xdr:row>
                <xdr:rowOff>352425</xdr:rowOff>
              </from>
              <to>
                <xdr:col>5</xdr:col>
                <xdr:colOff>19050</xdr:colOff>
                <xdr:row>36</xdr:row>
                <xdr:rowOff>342900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ARUN 75 OF 23-24</vt:lpstr>
      <vt:lpstr>MITUL 62 OF 24-25</vt:lpstr>
      <vt:lpstr>SAMYAK 18 Y23-24</vt:lpstr>
      <vt:lpstr>'ARUN 75 OF 23-24'!Print_Area</vt:lpstr>
      <vt:lpstr>'MITUL 62 OF 24-25'!Print_Area</vt:lpstr>
      <vt:lpstr>'SAMYAK 18 Y23-24'!Print_Area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 Chauhan</dc:creator>
  <cp:lastModifiedBy>Rajkumar</cp:lastModifiedBy>
  <cp:lastPrinted>2025-12-28T07:33:23Z</cp:lastPrinted>
  <dcterms:created xsi:type="dcterms:W3CDTF">2025-02-24T06:05:45Z</dcterms:created>
  <dcterms:modified xsi:type="dcterms:W3CDTF">2025-12-28T07:34:58Z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{0B62E4EE-AB4B-4E7D-9721-A0379D5E94E9}</vt:lpwstr>
  </property>
</Properties>
</file>