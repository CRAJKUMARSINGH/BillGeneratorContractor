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ajkumar\Documents\000 test_files\BILLS\new pattern\"/>
    </mc:Choice>
  </mc:AlternateContent>
  <bookViews>
    <workbookView xWindow="-105" yWindow="-105" windowWidth="23250" windowHeight="12570" tabRatio="615" activeTab="1"/>
  </bookViews>
  <sheets>
    <sheet name="Title" sheetId="23" r:id="rId1"/>
    <sheet name="Work Order" sheetId="19" r:id="rId2"/>
    <sheet name="Bill Quantity" sheetId="22" r:id="rId3"/>
    <sheet name="Extra Items" sheetId="12" r:id="rId4"/>
  </sheets>
  <definedNames>
    <definedName name="payable_amount">#REF!</definedName>
    <definedName name="_xlnm.Print_Area" localSheetId="2">'Bill Quantity'!$A$1:$G$13</definedName>
    <definedName name="_xlnm.Print_Area" localSheetId="3">'Extra Items'!$A$1:$H$6</definedName>
    <definedName name="_xlnm.Print_Titles" localSheetId="3">'Extra Items'!$6:$29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3" l="1"/>
  <c r="B15" i="23"/>
  <c r="B14" i="23"/>
  <c r="B13" i="23"/>
  <c r="E10" i="22" l="1"/>
  <c r="D10" i="22"/>
  <c r="E10" i="19" l="1"/>
  <c r="D10" i="19"/>
  <c r="F14" i="12"/>
  <c r="E14" i="12"/>
  <c r="C4" i="12"/>
  <c r="C3" i="12"/>
  <c r="C2" i="12"/>
  <c r="F8" i="22" l="1"/>
  <c r="F7" i="22"/>
  <c r="F5" i="22"/>
  <c r="F4" i="22"/>
  <c r="F3" i="22"/>
  <c r="F2" i="22"/>
  <c r="F9" i="22" l="1"/>
  <c r="F10" i="22" s="1"/>
  <c r="F11" i="22" s="1"/>
  <c r="F8" i="19"/>
  <c r="F7" i="19"/>
  <c r="F6" i="19"/>
  <c r="F5" i="19"/>
  <c r="F4" i="19"/>
  <c r="F3" i="19"/>
  <c r="F2" i="19"/>
  <c r="G12" i="12"/>
  <c r="G11" i="12"/>
  <c r="G10" i="12"/>
  <c r="G9" i="12"/>
  <c r="G8" i="12"/>
  <c r="G7" i="12"/>
  <c r="G13" i="12" l="1"/>
  <c r="G14" i="12" s="1"/>
  <c r="G15" i="12" s="1"/>
  <c r="F9" i="19"/>
  <c r="F10" i="19" l="1"/>
  <c r="F11" i="19" s="1"/>
  <c r="B11" i="23" s="1"/>
</calcChain>
</file>

<file path=xl/sharedStrings.xml><?xml version="1.0" encoding="utf-8"?>
<sst xmlns="http://schemas.openxmlformats.org/spreadsheetml/2006/main" count="118" uniqueCount="73">
  <si>
    <t>Item</t>
  </si>
  <si>
    <t>Description</t>
  </si>
  <si>
    <t>Unit</t>
  </si>
  <si>
    <t>Quantity</t>
  </si>
  <si>
    <t>Rate</t>
  </si>
  <si>
    <t>Amount</t>
  </si>
  <si>
    <t>Each</t>
  </si>
  <si>
    <t>Short point (up to 3 mtr.)</t>
  </si>
  <si>
    <t>Medium point (up to 6 mtr.)</t>
  </si>
  <si>
    <t>On board</t>
  </si>
  <si>
    <t>P. point</t>
  </si>
  <si>
    <t>FOR CONTRACTORS &amp; SUPPLIERS ONLY FOR PAYMENT FOR WORK OR SUPPLIES ACTUALLY MEASURED</t>
  </si>
  <si>
    <t>Remarks</t>
  </si>
  <si>
    <t>S.No.</t>
  </si>
  <si>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</si>
  <si>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Long point  (up to 10 mtr.)</t>
  </si>
  <si>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</si>
  <si>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</si>
  <si>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 xml:space="preserve">Date of written order to commence work : </t>
  </si>
  <si>
    <t>1.5.1</t>
  </si>
  <si>
    <t>1.5.2</t>
  </si>
  <si>
    <t>1.5.3</t>
  </si>
  <si>
    <t>1.7.1</t>
  </si>
  <si>
    <t>BSR</t>
  </si>
  <si>
    <t>Agreement No.</t>
  </si>
  <si>
    <t xml:space="preserve">St. date of completion : </t>
  </si>
  <si>
    <t xml:space="preserve">Date of actual completion of work : </t>
  </si>
  <si>
    <t xml:space="preserve">Date of measurement : </t>
  </si>
  <si>
    <t xml:space="preserve">St. date of Start : </t>
  </si>
  <si>
    <t>48/2024-25</t>
  </si>
  <si>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</si>
  <si>
    <t>6 A 3/5 pin shuttered socket</t>
  </si>
  <si>
    <t>6/16 A shuttered socket</t>
  </si>
  <si>
    <t xml:space="preserve"> Minimum lumen output 2500 Im Post top Luminarie</t>
  </si>
  <si>
    <t xml:space="preserve">Name of Contractor or supplier : </t>
  </si>
  <si>
    <t xml:space="preserve">Name of Work ;- </t>
  </si>
  <si>
    <t>Serial No. of this bill :</t>
  </si>
  <si>
    <t xml:space="preserve">No. and date of the last bill- </t>
  </si>
  <si>
    <t>Not Applicable</t>
  </si>
  <si>
    <t>Reference to work order or Agreement :</t>
  </si>
  <si>
    <t>First &amp; Final Bill</t>
  </si>
  <si>
    <t xml:space="preserve">Name of Work :- </t>
  </si>
  <si>
    <t/>
  </si>
  <si>
    <t>E-01</t>
  </si>
  <si>
    <t>E-02</t>
  </si>
  <si>
    <t>E-03</t>
  </si>
  <si>
    <t>E-04</t>
  </si>
  <si>
    <t>E-05</t>
  </si>
  <si>
    <t>E-06</t>
  </si>
  <si>
    <t>Qty.</t>
  </si>
  <si>
    <t>Particulars</t>
  </si>
  <si>
    <t>Ref. BSR No.</t>
  </si>
  <si>
    <t>EXTRA ITEM SLIP</t>
  </si>
  <si>
    <t xml:space="preserve">Reference to work order or Agreement : </t>
  </si>
  <si>
    <t>Above</t>
  </si>
  <si>
    <t>TENDER PREMIUM %</t>
  </si>
  <si>
    <t>%</t>
  </si>
  <si>
    <t>Total</t>
  </si>
  <si>
    <t xml:space="preserve">Add Tender Premium </t>
  </si>
  <si>
    <t>Grand Total</t>
  </si>
  <si>
    <t>Bill Number</t>
  </si>
  <si>
    <t>First</t>
  </si>
  <si>
    <t xml:space="preserve">Running or Final </t>
  </si>
  <si>
    <t>Amount Paid Vide Last Bill</t>
  </si>
  <si>
    <t>Cash Book Voucher No. and Date</t>
  </si>
  <si>
    <t>unit</t>
  </si>
  <si>
    <t>Final</t>
  </si>
  <si>
    <t>WORK ORDER AMOUNT RS.</t>
  </si>
  <si>
    <t>Premium Type</t>
  </si>
  <si>
    <t>M/s. Shree Krishna Builders Jaipur</t>
  </si>
  <si>
    <t>First Final   First &amp; Final Bill Not Applicable 2145 Dt. 15-02-2025 72/2024-25 478510 15-02-25 22-02-25 10-05-25 19-07-25 07-04-25 3.75 Below 0</t>
  </si>
  <si>
    <t>Plumbing Installation and MTC work at Govt. Nehru hostel Mansarovar, Sanganer, Jaipur</t>
  </si>
  <si>
    <t>0511 Dt. 05-11-2023</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</si>
</sst>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sz val="12"/>
      <name val="Arial"/>
      <family val="2"/>
    </font>
    <font>
      <sz val="10"/>
      <name val="Arial"/>
      <family val="2"/>
    </font>
    <font>
      <sz val="11"/>
      <color theme="1"/>
      <name val="Calibri"/>
      <family val="2"/>
      <scheme val="minor"/>
    </font>
    <font>
      <sz val="10"/>
      <name val="Helv"/>
      <charset val="204"/>
    </font>
    <font>
      <sz val="10"/>
      <name val="Helv"/>
      <family val="2"/>
    </font>
    <font>
      <sz val="9"/>
      <name val="Calibri"/>
      <family val="2"/>
    </font>
    <font>
      <b/>
      <sz val="9"/>
      <name val="Calibri"/>
      <family val="2"/>
    </font>
    <font>
      <sz val="9"/>
      <color theme="1"/>
      <name val="Calibri"/>
      <family val="2"/>
      <scheme val="minor"/>
    </font>
    <font>
      <sz val="9"/>
      <color theme="1"/>
      <name val="Calibri"/>
      <family val="2"/>
    </font>
    <font>
      <b/>
      <u/>
      <sz val="9"/>
      <name val="Calibri"/>
      <family val="2"/>
    </font>
    <font>
      <sz val="9"/>
      <color rgb="FFFF0000"/>
      <name val="Calibri"/>
      <family val="2"/>
    </font>
    <font>
      <b/>
      <sz val="9"/>
      <color rgb="FFFF0000"/>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1" fillId="0" borderId="0"/>
    <xf numFmtId="0" fontId="4" fillId="0" borderId="0"/>
    <xf numFmtId="0" fontId="4" fillId="0" borderId="0"/>
    <xf numFmtId="0" fontId="5" fillId="0" borderId="0"/>
    <xf numFmtId="0" fontId="2" fillId="0" borderId="0"/>
    <xf numFmtId="0" fontId="3" fillId="0" borderId="0"/>
  </cellStyleXfs>
  <cellXfs count="47">
    <xf numFmtId="0" fontId="0" fillId="0" borderId="0" xfId="0"/>
    <xf numFmtId="0" fontId="6" fillId="0" borderId="0" xfId="1" applyFont="1" applyAlignment="1">
      <alignment horizontal="center" vertical="top" wrapText="1"/>
    </xf>
    <xf numFmtId="0" fontId="6" fillId="0" borderId="0" xfId="1" applyFont="1"/>
    <xf numFmtId="0" fontId="6" fillId="0" borderId="0" xfId="1" applyFont="1" applyAlignment="1">
      <alignment vertical="top" wrapText="1"/>
    </xf>
    <xf numFmtId="0" fontId="6" fillId="0" borderId="0" xfId="1" applyFont="1" applyAlignment="1">
      <alignment vertical="top"/>
    </xf>
    <xf numFmtId="0" fontId="8" fillId="0" borderId="0" xfId="0" applyFont="1" applyAlignment="1">
      <alignment vertical="top"/>
    </xf>
    <xf numFmtId="0" fontId="8" fillId="0" borderId="0" xfId="0" applyFont="1" applyAlignment="1">
      <alignment vertical="top" wrapText="1"/>
    </xf>
    <xf numFmtId="0" fontId="9"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0" fontId="8" fillId="0" borderId="1" xfId="0" applyFont="1" applyBorder="1" applyAlignment="1">
      <alignment horizontal="left" vertical="top" wrapText="1"/>
    </xf>
    <xf numFmtId="0" fontId="6" fillId="0" borderId="0" xfId="1" applyFont="1" applyAlignment="1">
      <alignment horizontal="center"/>
    </xf>
    <xf numFmtId="0" fontId="6" fillId="0" borderId="0" xfId="1" applyFont="1" applyAlignment="1">
      <alignment horizontal="center" vertical="top"/>
    </xf>
    <xf numFmtId="0" fontId="6" fillId="0" borderId="1" xfId="1" applyFont="1" applyBorder="1"/>
    <xf numFmtId="0" fontId="10" fillId="0" borderId="0" xfId="1" applyFont="1" applyAlignment="1">
      <alignment horizontal="center"/>
    </xf>
    <xf numFmtId="0" fontId="6" fillId="0" borderId="0" xfId="1" applyFont="1" applyAlignment="1">
      <alignment horizontal="left" vertical="top"/>
    </xf>
    <xf numFmtId="0" fontId="6" fillId="0" borderId="1" xfId="1" applyFont="1" applyBorder="1" applyAlignment="1">
      <alignment horizontal="center" vertical="top" wrapText="1"/>
    </xf>
    <xf numFmtId="0" fontId="6" fillId="0" borderId="1" xfId="1" applyFont="1" applyBorder="1" applyAlignment="1">
      <alignment horizontal="center" vertical="top"/>
    </xf>
    <xf numFmtId="0" fontId="6" fillId="0" borderId="1" xfId="1" applyFont="1" applyBorder="1" applyAlignment="1">
      <alignment vertical="top" wrapText="1"/>
    </xf>
    <xf numFmtId="2" fontId="6" fillId="0" borderId="1" xfId="1" applyNumberFormat="1" applyFont="1" applyBorder="1"/>
    <xf numFmtId="0" fontId="6" fillId="0" borderId="1" xfId="1" applyFont="1" applyBorder="1" applyAlignment="1">
      <alignment horizontal="justify" vertical="top" wrapText="1"/>
    </xf>
    <xf numFmtId="0" fontId="8" fillId="0" borderId="1" xfId="0" applyFont="1" applyBorder="1" applyAlignment="1">
      <alignment horizontal="center"/>
    </xf>
    <xf numFmtId="0" fontId="9" fillId="0" borderId="2" xfId="0" applyFont="1" applyBorder="1" applyAlignment="1">
      <alignment vertical="top" wrapText="1"/>
    </xf>
    <xf numFmtId="0" fontId="8" fillId="0" borderId="5" xfId="0" applyFont="1" applyBorder="1" applyAlignment="1">
      <alignment vertical="top"/>
    </xf>
    <xf numFmtId="0" fontId="8" fillId="0" borderId="2" xfId="0" applyFont="1" applyBorder="1" applyAlignment="1">
      <alignment vertical="top"/>
    </xf>
    <xf numFmtId="0" fontId="6" fillId="0" borderId="6" xfId="1" applyFont="1" applyBorder="1" applyAlignment="1">
      <alignment horizontal="center" vertical="top"/>
    </xf>
    <xf numFmtId="0" fontId="6" fillId="0" borderId="6" xfId="1" applyFont="1" applyBorder="1" applyAlignment="1">
      <alignment horizontal="center" vertical="top" wrapText="1"/>
    </xf>
    <xf numFmtId="0" fontId="6" fillId="0" borderId="6" xfId="1" applyFont="1" applyBorder="1" applyAlignment="1">
      <alignment horizontal="justify" vertical="top" wrapText="1"/>
    </xf>
    <xf numFmtId="0" fontId="8" fillId="0" borderId="3" xfId="0" applyFont="1" applyBorder="1" applyAlignment="1">
      <alignment vertical="top" wrapText="1"/>
    </xf>
    <xf numFmtId="0" fontId="8" fillId="0" borderId="4" xfId="0" applyFont="1" applyBorder="1" applyAlignment="1">
      <alignment vertical="top"/>
    </xf>
    <xf numFmtId="0" fontId="8" fillId="0" borderId="0" xfId="0" quotePrefix="1" applyFont="1" applyAlignment="1">
      <alignment horizontal="center" vertical="top"/>
    </xf>
    <xf numFmtId="0" fontId="8" fillId="0" borderId="0" xfId="0" applyFont="1" applyFill="1" applyBorder="1" applyAlignment="1">
      <alignment vertical="top"/>
    </xf>
    <xf numFmtId="0" fontId="6" fillId="0" borderId="0" xfId="1" applyFont="1" applyFill="1" applyBorder="1"/>
    <xf numFmtId="0" fontId="7" fillId="0" borderId="0" xfId="1" applyFont="1" applyFill="1" applyBorder="1"/>
    <xf numFmtId="0" fontId="6" fillId="0" borderId="0" xfId="1" applyFont="1" applyFill="1" applyBorder="1" applyAlignment="1">
      <alignment vertical="top"/>
    </xf>
    <xf numFmtId="0" fontId="7" fillId="0" borderId="0" xfId="1" applyFont="1" applyFill="1" applyBorder="1" applyAlignment="1">
      <alignment horizontal="left"/>
    </xf>
    <xf numFmtId="0" fontId="0" fillId="0" borderId="0" xfId="0" applyFill="1" applyBorder="1"/>
    <xf numFmtId="14" fontId="7" fillId="0" borderId="0" xfId="1" applyNumberFormat="1" applyFont="1" applyFill="1" applyBorder="1" applyAlignment="1">
      <alignment horizontal="left"/>
    </xf>
    <xf numFmtId="14" fontId="7" fillId="0" borderId="0" xfId="1" applyNumberFormat="1" applyFont="1" applyFill="1" applyBorder="1" applyAlignment="1">
      <alignment horizontal="left" vertical="top" wrapText="1"/>
    </xf>
    <xf numFmtId="2" fontId="8" fillId="0" borderId="0" xfId="0" applyNumberFormat="1" applyFont="1" applyFill="1" applyBorder="1" applyAlignment="1">
      <alignment horizontal="left" vertical="top"/>
    </xf>
    <xf numFmtId="0" fontId="6" fillId="0" borderId="0" xfId="1" applyFont="1" applyFill="1" applyBorder="1" applyAlignment="1">
      <alignment horizontal="left" vertical="top" wrapText="1"/>
    </xf>
    <xf numFmtId="1" fontId="7" fillId="0" borderId="0" xfId="1" applyNumberFormat="1" applyFont="1" applyFill="1" applyBorder="1" applyAlignment="1">
      <alignment horizontal="left" vertical="top" wrapText="1"/>
    </xf>
    <xf numFmtId="0" fontId="11" fillId="0" borderId="0" xfId="1" applyFont="1" applyAlignment="1">
      <alignment vertical="top"/>
    </xf>
    <xf numFmtId="0" fontId="11" fillId="0" borderId="0" xfId="1" applyFont="1"/>
    <xf numFmtId="0" fontId="12" fillId="0" borderId="7" xfId="0" applyFont="1" applyBorder="1" applyAlignment="1">
      <alignment vertical="top"/>
    </xf>
    <xf numFmtId="2" fontId="12" fillId="0" borderId="7" xfId="0" applyNumberFormat="1" applyFont="1" applyBorder="1" applyAlignment="1">
      <alignment vertical="top"/>
    </xf>
    <xf numFmtId="0" fontId="6" fillId="0" borderId="0" xfId="1" applyFont="1" applyAlignment="1">
      <alignment horizontal="left"/>
    </xf>
  </cellXfs>
  <cellStyles count="7">
    <cellStyle name="Normal" xfId="0" builtinId="0"/>
    <cellStyle name="Normal 13" xfId="5"/>
    <cellStyle name="Normal 2" xfId="1"/>
    <cellStyle name="Normal 8 2 2" xfId="6"/>
    <cellStyle name="Style 1" xfId="2"/>
    <cellStyle name="Style 1 2" xfId="4"/>
    <cellStyle name="Style 1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9"/>
  <sheetViews>
    <sheetView workbookViewId="0">
      <selection activeCell="B24" sqref="B24"/>
    </sheetView>
  </sheetViews>
  <sheetFormatPr defaultRowHeight="15"/>
  <cols>
    <col min="1" max="1" width="32" style="36" bestFit="1" customWidth="1"/>
    <col min="2" max="2" width="74.42578125" style="36" bestFit="1" customWidth="1"/>
    <col min="3" max="16384" width="9.140625" style="36"/>
  </cols>
  <sheetData>
    <row r="1" spans="1:4" s="32" customFormat="1" ht="15" customHeight="1">
      <c r="A1" s="32" t="s">
        <v>11</v>
      </c>
    </row>
    <row r="2" spans="1:4" s="32" customFormat="1" ht="15" customHeight="1">
      <c r="A2" s="40" t="s">
        <v>60</v>
      </c>
      <c r="B2" s="40" t="s">
        <v>61</v>
      </c>
    </row>
    <row r="3" spans="1:4" s="32" customFormat="1" ht="15" customHeight="1">
      <c r="A3" s="40" t="s">
        <v>62</v>
      </c>
      <c r="B3" s="40" t="s">
        <v>66</v>
      </c>
    </row>
    <row r="4" spans="1:4" s="32" customFormat="1" ht="15" customHeight="1">
      <c r="A4" s="40" t="s">
        <v>64</v>
      </c>
      <c r="B4" s="40"/>
      <c r="D4" s="32" t="s">
        <v>70</v>
      </c>
    </row>
    <row r="5" spans="1:4" s="32" customFormat="1" ht="12">
      <c r="A5" s="33" t="s">
        <v>34</v>
      </c>
      <c r="B5" s="34" t="s">
        <v>69</v>
      </c>
    </row>
    <row r="6" spans="1:4" s="32" customFormat="1" ht="12">
      <c r="A6" s="33" t="s">
        <v>35</v>
      </c>
      <c r="B6" s="34" t="s">
        <v>71</v>
      </c>
    </row>
    <row r="7" spans="1:4" s="32" customFormat="1" ht="12">
      <c r="A7" s="33" t="s">
        <v>36</v>
      </c>
      <c r="B7" s="35" t="s">
        <v>40</v>
      </c>
    </row>
    <row r="8" spans="1:4" s="32" customFormat="1" ht="12">
      <c r="A8" s="33" t="s">
        <v>37</v>
      </c>
      <c r="B8" s="35" t="s">
        <v>38</v>
      </c>
    </row>
    <row r="9" spans="1:4" s="32" customFormat="1" ht="12">
      <c r="A9" s="33" t="s">
        <v>39</v>
      </c>
      <c r="B9" s="35" t="s">
        <v>72</v>
      </c>
    </row>
    <row r="10" spans="1:4" s="32" customFormat="1" ht="12">
      <c r="A10" s="33" t="s">
        <v>24</v>
      </c>
      <c r="B10" s="33" t="s">
        <v>29</v>
      </c>
    </row>
    <row r="11" spans="1:4" s="2" customFormat="1" ht="15" customHeight="1">
      <c r="A11" s="4" t="s">
        <v>67</v>
      </c>
      <c r="B11" s="46">
        <f>'Work Order'!F11</f>
        <v>87588</v>
      </c>
    </row>
    <row r="12" spans="1:4" s="32" customFormat="1" ht="12">
      <c r="A12" s="33" t="s">
        <v>18</v>
      </c>
      <c r="B12" s="37">
        <v>45601</v>
      </c>
    </row>
    <row r="13" spans="1:4" s="32" customFormat="1" ht="15" customHeight="1">
      <c r="A13" s="33" t="s">
        <v>28</v>
      </c>
      <c r="B13" s="38">
        <f>B12+7</f>
        <v>45608</v>
      </c>
    </row>
    <row r="14" spans="1:4" s="32" customFormat="1" ht="15" customHeight="1">
      <c r="A14" s="33" t="s">
        <v>25</v>
      </c>
      <c r="B14" s="38">
        <f>B13+270</f>
        <v>45878</v>
      </c>
    </row>
    <row r="15" spans="1:4" s="32" customFormat="1" ht="12">
      <c r="A15" s="33" t="s">
        <v>26</v>
      </c>
      <c r="B15" s="38">
        <f>B14+5</f>
        <v>45883</v>
      </c>
    </row>
    <row r="16" spans="1:4" s="32" customFormat="1" ht="15" customHeight="1">
      <c r="A16" s="33" t="s">
        <v>27</v>
      </c>
      <c r="B16" s="38">
        <f>B15+32</f>
        <v>45915</v>
      </c>
    </row>
    <row r="17" spans="1:2" s="31" customFormat="1" ht="12">
      <c r="A17" s="31" t="s">
        <v>55</v>
      </c>
      <c r="B17" s="39">
        <v>5.1100000000000003</v>
      </c>
    </row>
    <row r="18" spans="1:2">
      <c r="A18" s="33" t="s">
        <v>68</v>
      </c>
      <c r="B18" s="36" t="s">
        <v>54</v>
      </c>
    </row>
    <row r="19" spans="1:2">
      <c r="A19" s="33" t="s">
        <v>63</v>
      </c>
      <c r="B19" s="41">
        <v>0</v>
      </c>
    </row>
  </sheetData>
  <pageMargins left="0.7" right="0.7" top="0.75" bottom="0.75" header="0.3" footer="0.3"/>
  <pageSetup paperSize="9" scale="8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G24"/>
  <sheetViews>
    <sheetView tabSelected="1" topLeftCell="A3" workbookViewId="0">
      <selection activeCell="G22" sqref="G22"/>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22" t="s">
        <v>5</v>
      </c>
      <c r="G1" s="24" t="s">
        <v>23</v>
      </c>
    </row>
    <row r="2" spans="1:7" ht="144">
      <c r="A2" s="8">
        <v>1</v>
      </c>
      <c r="B2" s="9" t="s">
        <v>14</v>
      </c>
      <c r="C2" s="8"/>
      <c r="D2" s="8"/>
      <c r="E2" s="8"/>
      <c r="F2" s="8" t="str">
        <f>IF(ISBLANK(D2),"",ROUND(D2*E2,0))</f>
        <v/>
      </c>
      <c r="G2" s="10">
        <v>1.5</v>
      </c>
    </row>
    <row r="3" spans="1:7">
      <c r="A3" s="8"/>
      <c r="B3" s="9" t="s">
        <v>7</v>
      </c>
      <c r="C3" s="8" t="s">
        <v>10</v>
      </c>
      <c r="D3" s="8">
        <v>50</v>
      </c>
      <c r="E3" s="8">
        <v>256</v>
      </c>
      <c r="F3" s="8">
        <f t="shared" ref="F3:F8" si="0">IF(ISBLANK(D3),"",ROUND(D3*E3,0))</f>
        <v>12800</v>
      </c>
      <c r="G3" s="10" t="s">
        <v>19</v>
      </c>
    </row>
    <row r="4" spans="1:7">
      <c r="A4" s="8"/>
      <c r="B4" s="9" t="s">
        <v>8</v>
      </c>
      <c r="C4" s="8" t="s">
        <v>10</v>
      </c>
      <c r="D4" s="8">
        <v>50</v>
      </c>
      <c r="E4" s="8">
        <v>472</v>
      </c>
      <c r="F4" s="8">
        <f t="shared" si="0"/>
        <v>23600</v>
      </c>
      <c r="G4" s="10" t="s">
        <v>20</v>
      </c>
    </row>
    <row r="5" spans="1:7">
      <c r="A5" s="8"/>
      <c r="B5" s="9" t="s">
        <v>15</v>
      </c>
      <c r="C5" s="8" t="s">
        <v>10</v>
      </c>
      <c r="D5" s="8">
        <v>50</v>
      </c>
      <c r="E5" s="8">
        <v>662</v>
      </c>
      <c r="F5" s="8">
        <f t="shared" si="0"/>
        <v>33100</v>
      </c>
      <c r="G5" s="10" t="s">
        <v>21</v>
      </c>
    </row>
    <row r="6" spans="1:7" ht="144">
      <c r="A6" s="8">
        <v>2</v>
      </c>
      <c r="B6" s="9" t="s">
        <v>16</v>
      </c>
      <c r="C6" s="8"/>
      <c r="D6" s="8"/>
      <c r="E6" s="8"/>
      <c r="F6" s="8" t="str">
        <f t="shared" si="0"/>
        <v/>
      </c>
      <c r="G6" s="10">
        <v>1.7</v>
      </c>
    </row>
    <row r="7" spans="1:7">
      <c r="A7" s="8"/>
      <c r="B7" s="9" t="s">
        <v>9</v>
      </c>
      <c r="C7" s="8" t="s">
        <v>10</v>
      </c>
      <c r="D7" s="8">
        <v>100</v>
      </c>
      <c r="E7" s="8">
        <v>136</v>
      </c>
      <c r="F7" s="8">
        <f t="shared" si="0"/>
        <v>13600</v>
      </c>
      <c r="G7" s="10" t="s">
        <v>22</v>
      </c>
    </row>
    <row r="8" spans="1:7" ht="72">
      <c r="A8" s="8">
        <v>3</v>
      </c>
      <c r="B8" s="9" t="s">
        <v>17</v>
      </c>
      <c r="C8" s="8" t="s">
        <v>6</v>
      </c>
      <c r="D8" s="8">
        <v>10</v>
      </c>
      <c r="E8" s="8">
        <v>23</v>
      </c>
      <c r="F8" s="8">
        <f t="shared" si="0"/>
        <v>230</v>
      </c>
      <c r="G8" s="10">
        <v>7.1</v>
      </c>
    </row>
    <row r="9" spans="1:7" ht="12.75" thickBot="1">
      <c r="B9" s="6" t="s">
        <v>57</v>
      </c>
      <c r="F9" s="5">
        <f>SUM(F2:F8)</f>
        <v>83330</v>
      </c>
      <c r="G9" s="6"/>
    </row>
    <row r="10" spans="1:7" ht="12.75" thickBot="1">
      <c r="B10" s="6" t="s">
        <v>58</v>
      </c>
      <c r="C10" s="30" t="s">
        <v>56</v>
      </c>
      <c r="D10" s="45">
        <f>Title!B17</f>
        <v>5.1100000000000003</v>
      </c>
      <c r="E10" s="44" t="str">
        <f>Title!B18</f>
        <v>Above</v>
      </c>
      <c r="F10" s="5">
        <f>IF(E10 &gt; 0,  IF(E10 = "above", ROUND(F9 * D10 / 100, 0), IF(E10 = "below", -ROUND(F9 * D10 / 100, 0), IF(E10 = 0, 0, 0))))</f>
        <v>4258</v>
      </c>
      <c r="G10" s="6"/>
    </row>
    <row r="11" spans="1:7" ht="12.75" thickBot="1">
      <c r="B11" s="28" t="s">
        <v>59</v>
      </c>
      <c r="C11" s="29"/>
      <c r="D11" s="29"/>
      <c r="E11" s="29"/>
      <c r="F11" s="23">
        <f>F9+F10</f>
        <v>87588</v>
      </c>
      <c r="G11" s="6"/>
    </row>
    <row r="12" spans="1:7">
      <c r="G12" s="6"/>
    </row>
    <row r="13" spans="1:7">
      <c r="G13" s="6"/>
    </row>
    <row r="14" spans="1:7">
      <c r="G14" s="6"/>
    </row>
    <row r="15" spans="1:7">
      <c r="G15" s="6"/>
    </row>
    <row r="16" spans="1:7">
      <c r="G16" s="6"/>
    </row>
    <row r="17" spans="7:7">
      <c r="G17" s="6"/>
    </row>
    <row r="18" spans="7:7">
      <c r="G18" s="6"/>
    </row>
    <row r="19" spans="7:7">
      <c r="G19" s="6"/>
    </row>
    <row r="20" spans="7:7">
      <c r="G20" s="6"/>
    </row>
    <row r="21" spans="7:7">
      <c r="G21" s="6"/>
    </row>
    <row r="22" spans="7:7">
      <c r="G22" s="6"/>
    </row>
    <row r="23" spans="7:7">
      <c r="G23" s="6"/>
    </row>
    <row r="24" spans="7:7">
      <c r="G24" s="6"/>
    </row>
  </sheetData>
  <pageMargins left="0.70866141732283505" right="0.70866141732283505" top="0.74803149606299202" bottom="0.74803149606299202" header="0.31496062992126" footer="0.31496062992126"/>
  <pageSetup paperSize="9" scale="69" fitToHeight="3" orientation="portrait" r:id="rId1"/>
  <headerFooter>
    <oddFooter>&amp;CAgrement No.-54&amp;R&amp;P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G37"/>
  <sheetViews>
    <sheetView workbookViewId="0">
      <selection activeCell="D3" sqref="D3"/>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7" t="s">
        <v>5</v>
      </c>
      <c r="G1" s="8" t="s">
        <v>23</v>
      </c>
    </row>
    <row r="2" spans="1:7" ht="144">
      <c r="A2" s="8">
        <v>1</v>
      </c>
      <c r="B2" s="9" t="s">
        <v>14</v>
      </c>
      <c r="C2" s="8"/>
      <c r="D2" s="8"/>
      <c r="E2" s="8"/>
      <c r="F2" s="8" t="str">
        <f>IF(ISBLANK(D2),"",ROUND(D2*E2,0))</f>
        <v/>
      </c>
      <c r="G2" s="10">
        <v>1.5</v>
      </c>
    </row>
    <row r="3" spans="1:7">
      <c r="A3" s="8"/>
      <c r="B3" s="9" t="s">
        <v>7</v>
      </c>
      <c r="C3" s="8" t="s">
        <v>10</v>
      </c>
      <c r="D3" s="8">
        <v>52</v>
      </c>
      <c r="E3" s="8">
        <v>256</v>
      </c>
      <c r="F3" s="8">
        <f t="shared" ref="F3:F8" si="0">IF(ISBLANK(D3),"",ROUND(D3*E3,0))</f>
        <v>13312</v>
      </c>
      <c r="G3" s="10" t="s">
        <v>19</v>
      </c>
    </row>
    <row r="4" spans="1:7">
      <c r="A4" s="8"/>
      <c r="B4" s="9" t="s">
        <v>8</v>
      </c>
      <c r="C4" s="8" t="s">
        <v>10</v>
      </c>
      <c r="D4" s="8">
        <v>48</v>
      </c>
      <c r="E4" s="8">
        <v>472</v>
      </c>
      <c r="F4" s="8">
        <f t="shared" si="0"/>
        <v>22656</v>
      </c>
      <c r="G4" s="10" t="s">
        <v>20</v>
      </c>
    </row>
    <row r="5" spans="1:7">
      <c r="A5" s="8"/>
      <c r="B5" s="9" t="s">
        <v>15</v>
      </c>
      <c r="C5" s="8" t="s">
        <v>10</v>
      </c>
      <c r="D5" s="8">
        <v>52</v>
      </c>
      <c r="E5" s="8">
        <v>662</v>
      </c>
      <c r="F5" s="8">
        <f t="shared" si="0"/>
        <v>34424</v>
      </c>
      <c r="G5" s="10" t="s">
        <v>21</v>
      </c>
    </row>
    <row r="6" spans="1:7" ht="144">
      <c r="A6" s="8">
        <v>2</v>
      </c>
      <c r="B6" s="9" t="s">
        <v>16</v>
      </c>
      <c r="C6" s="8"/>
      <c r="D6" s="8" t="s">
        <v>42</v>
      </c>
      <c r="E6" s="8"/>
      <c r="F6" s="8"/>
      <c r="G6" s="10">
        <v>1.7</v>
      </c>
    </row>
    <row r="7" spans="1:7">
      <c r="A7" s="8"/>
      <c r="B7" s="9" t="s">
        <v>9</v>
      </c>
      <c r="C7" s="8" t="s">
        <v>10</v>
      </c>
      <c r="D7" s="8">
        <v>102</v>
      </c>
      <c r="E7" s="8">
        <v>136</v>
      </c>
      <c r="F7" s="8">
        <f t="shared" si="0"/>
        <v>13872</v>
      </c>
      <c r="G7" s="10" t="s">
        <v>22</v>
      </c>
    </row>
    <row r="8" spans="1:7" ht="72">
      <c r="A8" s="8">
        <v>3</v>
      </c>
      <c r="B8" s="9" t="s">
        <v>17</v>
      </c>
      <c r="C8" s="8" t="s">
        <v>6</v>
      </c>
      <c r="D8" s="8">
        <v>8</v>
      </c>
      <c r="E8" s="8">
        <v>23</v>
      </c>
      <c r="F8" s="8">
        <f t="shared" si="0"/>
        <v>184</v>
      </c>
      <c r="G8" s="10">
        <v>7.1</v>
      </c>
    </row>
    <row r="9" spans="1:7" ht="12.75" thickBot="1">
      <c r="B9" s="6" t="s">
        <v>57</v>
      </c>
      <c r="F9" s="5">
        <f>SUM(F2:F8)</f>
        <v>84448</v>
      </c>
      <c r="G9" s="6"/>
    </row>
    <row r="10" spans="1:7" ht="12.75" thickBot="1">
      <c r="B10" s="6" t="s">
        <v>58</v>
      </c>
      <c r="C10" s="30" t="s">
        <v>56</v>
      </c>
      <c r="D10" s="45">
        <f>Title!B17</f>
        <v>5.1100000000000003</v>
      </c>
      <c r="E10" s="44" t="str">
        <f>Title!B18</f>
        <v>Above</v>
      </c>
      <c r="F10" s="5">
        <f>IF(E10 &gt; 0,  IF(E10 = "above", ROUND(F9 * D10 / 100, 0), IF(E10 = "below", -ROUND(F9 * D10 / 100, 0), IF(E10 = 0, 0, 0))))</f>
        <v>4315</v>
      </c>
      <c r="G10" s="6"/>
    </row>
    <row r="11" spans="1:7" ht="12.75" thickBot="1">
      <c r="B11" s="28" t="s">
        <v>59</v>
      </c>
      <c r="C11" s="29"/>
      <c r="D11" s="29"/>
      <c r="E11" s="29"/>
      <c r="F11" s="23">
        <f>F9+F10</f>
        <v>88763</v>
      </c>
      <c r="G11" s="6"/>
    </row>
    <row r="12" spans="1:7">
      <c r="G12" s="6"/>
    </row>
    <row r="13" spans="1:7">
      <c r="G13" s="6"/>
    </row>
    <row r="14" spans="1:7">
      <c r="G14" s="6"/>
    </row>
    <row r="15" spans="1:7">
      <c r="G15" s="6"/>
    </row>
    <row r="16" spans="1:7">
      <c r="G16" s="6"/>
    </row>
    <row r="17" spans="7:7">
      <c r="G17" s="6"/>
    </row>
    <row r="18" spans="7:7">
      <c r="G18" s="6"/>
    </row>
    <row r="19" spans="7:7">
      <c r="G19" s="6"/>
    </row>
    <row r="20" spans="7:7">
      <c r="G20" s="6"/>
    </row>
    <row r="21" spans="7:7">
      <c r="G21" s="6"/>
    </row>
    <row r="22" spans="7:7">
      <c r="G22" s="6"/>
    </row>
    <row r="23" spans="7:7">
      <c r="G23" s="6"/>
    </row>
    <row r="24" spans="7:7">
      <c r="G24" s="6"/>
    </row>
    <row r="25" spans="7:7">
      <c r="G25" s="6"/>
    </row>
    <row r="26" spans="7:7">
      <c r="G26" s="6"/>
    </row>
    <row r="27" spans="7:7">
      <c r="G27" s="6"/>
    </row>
    <row r="28" spans="7:7">
      <c r="G28" s="6"/>
    </row>
    <row r="29" spans="7:7">
      <c r="G29" s="6"/>
    </row>
    <row r="30" spans="7:7">
      <c r="G30" s="6"/>
    </row>
    <row r="31" spans="7:7">
      <c r="G31" s="6"/>
    </row>
    <row r="32" spans="7:7">
      <c r="G32" s="6"/>
    </row>
    <row r="33" spans="7:7">
      <c r="G33" s="6"/>
    </row>
    <row r="34" spans="7:7">
      <c r="G34" s="6"/>
    </row>
    <row r="35" spans="7:7">
      <c r="G35" s="6"/>
    </row>
    <row r="36" spans="7:7">
      <c r="G36" s="6"/>
    </row>
    <row r="37" spans="7:7">
      <c r="G37" s="6"/>
    </row>
  </sheetData>
  <printOptions horizontalCentered="1"/>
  <pageMargins left="0.19685039370078738" right="0.19685039370078738" top="0.19685039370078738" bottom="0.59055118110236215" header="0.19685039370078738" footer="0.59055118110236215"/>
  <pageSetup paperSize="9" scale="79" fitToHeight="0" orientation="portrait" r:id="rId1"/>
  <headerFooter>
    <oddFooter>&amp;CAgrement No.-54&amp;R&amp;P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72"/>
  <sheetViews>
    <sheetView workbookViewId="0">
      <selection activeCell="C22" sqref="C22"/>
    </sheetView>
  </sheetViews>
  <sheetFormatPr defaultRowHeight="12"/>
  <cols>
    <col min="1" max="1" width="29" style="2" bestFit="1" customWidth="1"/>
    <col min="2" max="2" width="6.42578125" style="2" bestFit="1" customWidth="1"/>
    <col min="3" max="3" width="65.140625" style="2" bestFit="1" customWidth="1"/>
    <col min="4" max="4" width="7.85546875" style="2" customWidth="1"/>
    <col min="5" max="5" width="4.5703125" style="2" bestFit="1" customWidth="1"/>
    <col min="6" max="6" width="7.5703125" style="2" bestFit="1" customWidth="1"/>
    <col min="7" max="7" width="9.85546875" style="2" customWidth="1"/>
    <col min="8" max="8" width="30.7109375" style="2" customWidth="1"/>
    <col min="9" max="254" width="8.85546875" style="2"/>
    <col min="255" max="255" width="5.42578125" style="2" customWidth="1"/>
    <col min="256" max="256" width="7" style="2" customWidth="1"/>
    <col min="257" max="257" width="29" style="2" customWidth="1"/>
    <col min="258" max="258" width="7" style="2" bestFit="1" customWidth="1"/>
    <col min="259" max="259" width="4.85546875" style="2" bestFit="1" customWidth="1"/>
    <col min="260" max="260" width="7.5703125" style="2" bestFit="1" customWidth="1"/>
    <col min="261" max="261" width="9.85546875" style="2" customWidth="1"/>
    <col min="262" max="262" width="23.5703125" style="2" customWidth="1"/>
    <col min="263" max="510" width="8.85546875" style="2"/>
    <col min="511" max="511" width="5.42578125" style="2" customWidth="1"/>
    <col min="512" max="512" width="7" style="2" customWidth="1"/>
    <col min="513" max="513" width="29" style="2" customWidth="1"/>
    <col min="514" max="514" width="7" style="2" bestFit="1" customWidth="1"/>
    <col min="515" max="515" width="4.85546875" style="2" bestFit="1" customWidth="1"/>
    <col min="516" max="516" width="7.5703125" style="2" bestFit="1" customWidth="1"/>
    <col min="517" max="517" width="9.85546875" style="2" customWidth="1"/>
    <col min="518" max="518" width="23.5703125" style="2" customWidth="1"/>
    <col min="519" max="766" width="8.85546875" style="2"/>
    <col min="767" max="767" width="5.42578125" style="2" customWidth="1"/>
    <col min="768" max="768" width="7" style="2" customWidth="1"/>
    <col min="769" max="769" width="29" style="2" customWidth="1"/>
    <col min="770" max="770" width="7" style="2" bestFit="1" customWidth="1"/>
    <col min="771" max="771" width="4.85546875" style="2" bestFit="1" customWidth="1"/>
    <col min="772" max="772" width="7.5703125" style="2" bestFit="1" customWidth="1"/>
    <col min="773" max="773" width="9.85546875" style="2" customWidth="1"/>
    <col min="774" max="774" width="23.5703125" style="2" customWidth="1"/>
    <col min="775" max="1022" width="8.85546875" style="2"/>
    <col min="1023" max="1023" width="5.42578125" style="2" customWidth="1"/>
    <col min="1024" max="1024" width="7" style="2" customWidth="1"/>
    <col min="1025" max="1025" width="29" style="2" customWidth="1"/>
    <col min="1026" max="1026" width="7" style="2" bestFit="1" customWidth="1"/>
    <col min="1027" max="1027" width="4.85546875" style="2" bestFit="1" customWidth="1"/>
    <col min="1028" max="1028" width="7.5703125" style="2" bestFit="1" customWidth="1"/>
    <col min="1029" max="1029" width="9.85546875" style="2" customWidth="1"/>
    <col min="1030" max="1030" width="23.5703125" style="2" customWidth="1"/>
    <col min="1031" max="1278" width="8.85546875" style="2"/>
    <col min="1279" max="1279" width="5.42578125" style="2" customWidth="1"/>
    <col min="1280" max="1280" width="7" style="2" customWidth="1"/>
    <col min="1281" max="1281" width="29" style="2" customWidth="1"/>
    <col min="1282" max="1282" width="7" style="2" bestFit="1" customWidth="1"/>
    <col min="1283" max="1283" width="4.85546875" style="2" bestFit="1" customWidth="1"/>
    <col min="1284" max="1284" width="7.5703125" style="2" bestFit="1" customWidth="1"/>
    <col min="1285" max="1285" width="9.85546875" style="2" customWidth="1"/>
    <col min="1286" max="1286" width="23.5703125" style="2" customWidth="1"/>
    <col min="1287" max="1534" width="8.85546875" style="2"/>
    <col min="1535" max="1535" width="5.42578125" style="2" customWidth="1"/>
    <col min="1536" max="1536" width="7" style="2" customWidth="1"/>
    <col min="1537" max="1537" width="29" style="2" customWidth="1"/>
    <col min="1538" max="1538" width="7" style="2" bestFit="1" customWidth="1"/>
    <col min="1539" max="1539" width="4.85546875" style="2" bestFit="1" customWidth="1"/>
    <col min="1540" max="1540" width="7.5703125" style="2" bestFit="1" customWidth="1"/>
    <col min="1541" max="1541" width="9.85546875" style="2" customWidth="1"/>
    <col min="1542" max="1542" width="23.5703125" style="2" customWidth="1"/>
    <col min="1543" max="1790" width="8.85546875" style="2"/>
    <col min="1791" max="1791" width="5.42578125" style="2" customWidth="1"/>
    <col min="1792" max="1792" width="7" style="2" customWidth="1"/>
    <col min="1793" max="1793" width="29" style="2" customWidth="1"/>
    <col min="1794" max="1794" width="7" style="2" bestFit="1" customWidth="1"/>
    <col min="1795" max="1795" width="4.85546875" style="2" bestFit="1" customWidth="1"/>
    <col min="1796" max="1796" width="7.5703125" style="2" bestFit="1" customWidth="1"/>
    <col min="1797" max="1797" width="9.85546875" style="2" customWidth="1"/>
    <col min="1798" max="1798" width="23.5703125" style="2" customWidth="1"/>
    <col min="1799" max="2046" width="8.85546875" style="2"/>
    <col min="2047" max="2047" width="5.42578125" style="2" customWidth="1"/>
    <col min="2048" max="2048" width="7" style="2" customWidth="1"/>
    <col min="2049" max="2049" width="29" style="2" customWidth="1"/>
    <col min="2050" max="2050" width="7" style="2" bestFit="1" customWidth="1"/>
    <col min="2051" max="2051" width="4.85546875" style="2" bestFit="1" customWidth="1"/>
    <col min="2052" max="2052" width="7.5703125" style="2" bestFit="1" customWidth="1"/>
    <col min="2053" max="2053" width="9.85546875" style="2" customWidth="1"/>
    <col min="2054" max="2054" width="23.5703125" style="2" customWidth="1"/>
    <col min="2055" max="2302" width="8.85546875" style="2"/>
    <col min="2303" max="2303" width="5.42578125" style="2" customWidth="1"/>
    <col min="2304" max="2304" width="7" style="2" customWidth="1"/>
    <col min="2305" max="2305" width="29" style="2" customWidth="1"/>
    <col min="2306" max="2306" width="7" style="2" bestFit="1" customWidth="1"/>
    <col min="2307" max="2307" width="4.85546875" style="2" bestFit="1" customWidth="1"/>
    <col min="2308" max="2308" width="7.5703125" style="2" bestFit="1" customWidth="1"/>
    <col min="2309" max="2309" width="9.85546875" style="2" customWidth="1"/>
    <col min="2310" max="2310" width="23.5703125" style="2" customWidth="1"/>
    <col min="2311" max="2558" width="8.85546875" style="2"/>
    <col min="2559" max="2559" width="5.42578125" style="2" customWidth="1"/>
    <col min="2560" max="2560" width="7" style="2" customWidth="1"/>
    <col min="2561" max="2561" width="29" style="2" customWidth="1"/>
    <col min="2562" max="2562" width="7" style="2" bestFit="1" customWidth="1"/>
    <col min="2563" max="2563" width="4.85546875" style="2" bestFit="1" customWidth="1"/>
    <col min="2564" max="2564" width="7.5703125" style="2" bestFit="1" customWidth="1"/>
    <col min="2565" max="2565" width="9.85546875" style="2" customWidth="1"/>
    <col min="2566" max="2566" width="23.5703125" style="2" customWidth="1"/>
    <col min="2567" max="2814" width="8.85546875" style="2"/>
    <col min="2815" max="2815" width="5.42578125" style="2" customWidth="1"/>
    <col min="2816" max="2816" width="7" style="2" customWidth="1"/>
    <col min="2817" max="2817" width="29" style="2" customWidth="1"/>
    <col min="2818" max="2818" width="7" style="2" bestFit="1" customWidth="1"/>
    <col min="2819" max="2819" width="4.85546875" style="2" bestFit="1" customWidth="1"/>
    <col min="2820" max="2820" width="7.5703125" style="2" bestFit="1" customWidth="1"/>
    <col min="2821" max="2821" width="9.85546875" style="2" customWidth="1"/>
    <col min="2822" max="2822" width="23.5703125" style="2" customWidth="1"/>
    <col min="2823" max="3070" width="8.85546875" style="2"/>
    <col min="3071" max="3071" width="5.42578125" style="2" customWidth="1"/>
    <col min="3072" max="3072" width="7" style="2" customWidth="1"/>
    <col min="3073" max="3073" width="29" style="2" customWidth="1"/>
    <col min="3074" max="3074" width="7" style="2" bestFit="1" customWidth="1"/>
    <col min="3075" max="3075" width="4.85546875" style="2" bestFit="1" customWidth="1"/>
    <col min="3076" max="3076" width="7.5703125" style="2" bestFit="1" customWidth="1"/>
    <col min="3077" max="3077" width="9.85546875" style="2" customWidth="1"/>
    <col min="3078" max="3078" width="23.5703125" style="2" customWidth="1"/>
    <col min="3079" max="3326" width="8.85546875" style="2"/>
    <col min="3327" max="3327" width="5.42578125" style="2" customWidth="1"/>
    <col min="3328" max="3328" width="7" style="2" customWidth="1"/>
    <col min="3329" max="3329" width="29" style="2" customWidth="1"/>
    <col min="3330" max="3330" width="7" style="2" bestFit="1" customWidth="1"/>
    <col min="3331" max="3331" width="4.85546875" style="2" bestFit="1" customWidth="1"/>
    <col min="3332" max="3332" width="7.5703125" style="2" bestFit="1" customWidth="1"/>
    <col min="3333" max="3333" width="9.85546875" style="2" customWidth="1"/>
    <col min="3334" max="3334" width="23.5703125" style="2" customWidth="1"/>
    <col min="3335" max="3582" width="8.85546875" style="2"/>
    <col min="3583" max="3583" width="5.42578125" style="2" customWidth="1"/>
    <col min="3584" max="3584" width="7" style="2" customWidth="1"/>
    <col min="3585" max="3585" width="29" style="2" customWidth="1"/>
    <col min="3586" max="3586" width="7" style="2" bestFit="1" customWidth="1"/>
    <col min="3587" max="3587" width="4.85546875" style="2" bestFit="1" customWidth="1"/>
    <col min="3588" max="3588" width="7.5703125" style="2" bestFit="1" customWidth="1"/>
    <col min="3589" max="3589" width="9.85546875" style="2" customWidth="1"/>
    <col min="3590" max="3590" width="23.5703125" style="2" customWidth="1"/>
    <col min="3591" max="3838" width="8.85546875" style="2"/>
    <col min="3839" max="3839" width="5.42578125" style="2" customWidth="1"/>
    <col min="3840" max="3840" width="7" style="2" customWidth="1"/>
    <col min="3841" max="3841" width="29" style="2" customWidth="1"/>
    <col min="3842" max="3842" width="7" style="2" bestFit="1" customWidth="1"/>
    <col min="3843" max="3843" width="4.85546875" style="2" bestFit="1" customWidth="1"/>
    <col min="3844" max="3844" width="7.5703125" style="2" bestFit="1" customWidth="1"/>
    <col min="3845" max="3845" width="9.85546875" style="2" customWidth="1"/>
    <col min="3846" max="3846" width="23.5703125" style="2" customWidth="1"/>
    <col min="3847" max="4094" width="8.85546875" style="2"/>
    <col min="4095" max="4095" width="5.42578125" style="2" customWidth="1"/>
    <col min="4096" max="4096" width="7" style="2" customWidth="1"/>
    <col min="4097" max="4097" width="29" style="2" customWidth="1"/>
    <col min="4098" max="4098" width="7" style="2" bestFit="1" customWidth="1"/>
    <col min="4099" max="4099" width="4.85546875" style="2" bestFit="1" customWidth="1"/>
    <col min="4100" max="4100" width="7.5703125" style="2" bestFit="1" customWidth="1"/>
    <col min="4101" max="4101" width="9.85546875" style="2" customWidth="1"/>
    <col min="4102" max="4102" width="23.5703125" style="2" customWidth="1"/>
    <col min="4103" max="4350" width="8.85546875" style="2"/>
    <col min="4351" max="4351" width="5.42578125" style="2" customWidth="1"/>
    <col min="4352" max="4352" width="7" style="2" customWidth="1"/>
    <col min="4353" max="4353" width="29" style="2" customWidth="1"/>
    <col min="4354" max="4354" width="7" style="2" bestFit="1" customWidth="1"/>
    <col min="4355" max="4355" width="4.85546875" style="2" bestFit="1" customWidth="1"/>
    <col min="4356" max="4356" width="7.5703125" style="2" bestFit="1" customWidth="1"/>
    <col min="4357" max="4357" width="9.85546875" style="2" customWidth="1"/>
    <col min="4358" max="4358" width="23.5703125" style="2" customWidth="1"/>
    <col min="4359" max="4606" width="8.85546875" style="2"/>
    <col min="4607" max="4607" width="5.42578125" style="2" customWidth="1"/>
    <col min="4608" max="4608" width="7" style="2" customWidth="1"/>
    <col min="4609" max="4609" width="29" style="2" customWidth="1"/>
    <col min="4610" max="4610" width="7" style="2" bestFit="1" customWidth="1"/>
    <col min="4611" max="4611" width="4.85546875" style="2" bestFit="1" customWidth="1"/>
    <col min="4612" max="4612" width="7.5703125" style="2" bestFit="1" customWidth="1"/>
    <col min="4613" max="4613" width="9.85546875" style="2" customWidth="1"/>
    <col min="4614" max="4614" width="23.5703125" style="2" customWidth="1"/>
    <col min="4615" max="4862" width="8.85546875" style="2"/>
    <col min="4863" max="4863" width="5.42578125" style="2" customWidth="1"/>
    <col min="4864" max="4864" width="7" style="2" customWidth="1"/>
    <col min="4865" max="4865" width="29" style="2" customWidth="1"/>
    <col min="4866" max="4866" width="7" style="2" bestFit="1" customWidth="1"/>
    <col min="4867" max="4867" width="4.85546875" style="2" bestFit="1" customWidth="1"/>
    <col min="4868" max="4868" width="7.5703125" style="2" bestFit="1" customWidth="1"/>
    <col min="4869" max="4869" width="9.85546875" style="2" customWidth="1"/>
    <col min="4870" max="4870" width="23.5703125" style="2" customWidth="1"/>
    <col min="4871" max="5118" width="8.85546875" style="2"/>
    <col min="5119" max="5119" width="5.42578125" style="2" customWidth="1"/>
    <col min="5120" max="5120" width="7" style="2" customWidth="1"/>
    <col min="5121" max="5121" width="29" style="2" customWidth="1"/>
    <col min="5122" max="5122" width="7" style="2" bestFit="1" customWidth="1"/>
    <col min="5123" max="5123" width="4.85546875" style="2" bestFit="1" customWidth="1"/>
    <col min="5124" max="5124" width="7.5703125" style="2" bestFit="1" customWidth="1"/>
    <col min="5125" max="5125" width="9.85546875" style="2" customWidth="1"/>
    <col min="5126" max="5126" width="23.5703125" style="2" customWidth="1"/>
    <col min="5127" max="5374" width="8.85546875" style="2"/>
    <col min="5375" max="5375" width="5.42578125" style="2" customWidth="1"/>
    <col min="5376" max="5376" width="7" style="2" customWidth="1"/>
    <col min="5377" max="5377" width="29" style="2" customWidth="1"/>
    <col min="5378" max="5378" width="7" style="2" bestFit="1" customWidth="1"/>
    <col min="5379" max="5379" width="4.85546875" style="2" bestFit="1" customWidth="1"/>
    <col min="5380" max="5380" width="7.5703125" style="2" bestFit="1" customWidth="1"/>
    <col min="5381" max="5381" width="9.85546875" style="2" customWidth="1"/>
    <col min="5382" max="5382" width="23.5703125" style="2" customWidth="1"/>
    <col min="5383" max="5630" width="8.85546875" style="2"/>
    <col min="5631" max="5631" width="5.42578125" style="2" customWidth="1"/>
    <col min="5632" max="5632" width="7" style="2" customWidth="1"/>
    <col min="5633" max="5633" width="29" style="2" customWidth="1"/>
    <col min="5634" max="5634" width="7" style="2" bestFit="1" customWidth="1"/>
    <col min="5635" max="5635" width="4.85546875" style="2" bestFit="1" customWidth="1"/>
    <col min="5636" max="5636" width="7.5703125" style="2" bestFit="1" customWidth="1"/>
    <col min="5637" max="5637" width="9.85546875" style="2" customWidth="1"/>
    <col min="5638" max="5638" width="23.5703125" style="2" customWidth="1"/>
    <col min="5639" max="5886" width="8.85546875" style="2"/>
    <col min="5887" max="5887" width="5.42578125" style="2" customWidth="1"/>
    <col min="5888" max="5888" width="7" style="2" customWidth="1"/>
    <col min="5889" max="5889" width="29" style="2" customWidth="1"/>
    <col min="5890" max="5890" width="7" style="2" bestFit="1" customWidth="1"/>
    <col min="5891" max="5891" width="4.85546875" style="2" bestFit="1" customWidth="1"/>
    <col min="5892" max="5892" width="7.5703125" style="2" bestFit="1" customWidth="1"/>
    <col min="5893" max="5893" width="9.85546875" style="2" customWidth="1"/>
    <col min="5894" max="5894" width="23.5703125" style="2" customWidth="1"/>
    <col min="5895" max="6142" width="8.85546875" style="2"/>
    <col min="6143" max="6143" width="5.42578125" style="2" customWidth="1"/>
    <col min="6144" max="6144" width="7" style="2" customWidth="1"/>
    <col min="6145" max="6145" width="29" style="2" customWidth="1"/>
    <col min="6146" max="6146" width="7" style="2" bestFit="1" customWidth="1"/>
    <col min="6147" max="6147" width="4.85546875" style="2" bestFit="1" customWidth="1"/>
    <col min="6148" max="6148" width="7.5703125" style="2" bestFit="1" customWidth="1"/>
    <col min="6149" max="6149" width="9.85546875" style="2" customWidth="1"/>
    <col min="6150" max="6150" width="23.5703125" style="2" customWidth="1"/>
    <col min="6151" max="6398" width="8.85546875" style="2"/>
    <col min="6399" max="6399" width="5.42578125" style="2" customWidth="1"/>
    <col min="6400" max="6400" width="7" style="2" customWidth="1"/>
    <col min="6401" max="6401" width="29" style="2" customWidth="1"/>
    <col min="6402" max="6402" width="7" style="2" bestFit="1" customWidth="1"/>
    <col min="6403" max="6403" width="4.85546875" style="2" bestFit="1" customWidth="1"/>
    <col min="6404" max="6404" width="7.5703125" style="2" bestFit="1" customWidth="1"/>
    <col min="6405" max="6405" width="9.85546875" style="2" customWidth="1"/>
    <col min="6406" max="6406" width="23.5703125" style="2" customWidth="1"/>
    <col min="6407" max="6654" width="8.85546875" style="2"/>
    <col min="6655" max="6655" width="5.42578125" style="2" customWidth="1"/>
    <col min="6656" max="6656" width="7" style="2" customWidth="1"/>
    <col min="6657" max="6657" width="29" style="2" customWidth="1"/>
    <col min="6658" max="6658" width="7" style="2" bestFit="1" customWidth="1"/>
    <col min="6659" max="6659" width="4.85546875" style="2" bestFit="1" customWidth="1"/>
    <col min="6660" max="6660" width="7.5703125" style="2" bestFit="1" customWidth="1"/>
    <col min="6661" max="6661" width="9.85546875" style="2" customWidth="1"/>
    <col min="6662" max="6662" width="23.5703125" style="2" customWidth="1"/>
    <col min="6663" max="6910" width="8.85546875" style="2"/>
    <col min="6911" max="6911" width="5.42578125" style="2" customWidth="1"/>
    <col min="6912" max="6912" width="7" style="2" customWidth="1"/>
    <col min="6913" max="6913" width="29" style="2" customWidth="1"/>
    <col min="6914" max="6914" width="7" style="2" bestFit="1" customWidth="1"/>
    <col min="6915" max="6915" width="4.85546875" style="2" bestFit="1" customWidth="1"/>
    <col min="6916" max="6916" width="7.5703125" style="2" bestFit="1" customWidth="1"/>
    <col min="6917" max="6917" width="9.85546875" style="2" customWidth="1"/>
    <col min="6918" max="6918" width="23.5703125" style="2" customWidth="1"/>
    <col min="6919" max="7166" width="8.85546875" style="2"/>
    <col min="7167" max="7167" width="5.42578125" style="2" customWidth="1"/>
    <col min="7168" max="7168" width="7" style="2" customWidth="1"/>
    <col min="7169" max="7169" width="29" style="2" customWidth="1"/>
    <col min="7170" max="7170" width="7" style="2" bestFit="1" customWidth="1"/>
    <col min="7171" max="7171" width="4.85546875" style="2" bestFit="1" customWidth="1"/>
    <col min="7172" max="7172" width="7.5703125" style="2" bestFit="1" customWidth="1"/>
    <col min="7173" max="7173" width="9.85546875" style="2" customWidth="1"/>
    <col min="7174" max="7174" width="23.5703125" style="2" customWidth="1"/>
    <col min="7175" max="7422" width="8.85546875" style="2"/>
    <col min="7423" max="7423" width="5.42578125" style="2" customWidth="1"/>
    <col min="7424" max="7424" width="7" style="2" customWidth="1"/>
    <col min="7425" max="7425" width="29" style="2" customWidth="1"/>
    <col min="7426" max="7426" width="7" style="2" bestFit="1" customWidth="1"/>
    <col min="7427" max="7427" width="4.85546875" style="2" bestFit="1" customWidth="1"/>
    <col min="7428" max="7428" width="7.5703125" style="2" bestFit="1" customWidth="1"/>
    <col min="7429" max="7429" width="9.85546875" style="2" customWidth="1"/>
    <col min="7430" max="7430" width="23.5703125" style="2" customWidth="1"/>
    <col min="7431" max="7678" width="8.85546875" style="2"/>
    <col min="7679" max="7679" width="5.42578125" style="2" customWidth="1"/>
    <col min="7680" max="7680" width="7" style="2" customWidth="1"/>
    <col min="7681" max="7681" width="29" style="2" customWidth="1"/>
    <col min="7682" max="7682" width="7" style="2" bestFit="1" customWidth="1"/>
    <col min="7683" max="7683" width="4.85546875" style="2" bestFit="1" customWidth="1"/>
    <col min="7684" max="7684" width="7.5703125" style="2" bestFit="1" customWidth="1"/>
    <col min="7685" max="7685" width="9.85546875" style="2" customWidth="1"/>
    <col min="7686" max="7686" width="23.5703125" style="2" customWidth="1"/>
    <col min="7687" max="7934" width="8.85546875" style="2"/>
    <col min="7935" max="7935" width="5.42578125" style="2" customWidth="1"/>
    <col min="7936" max="7936" width="7" style="2" customWidth="1"/>
    <col min="7937" max="7937" width="29" style="2" customWidth="1"/>
    <col min="7938" max="7938" width="7" style="2" bestFit="1" customWidth="1"/>
    <col min="7939" max="7939" width="4.85546875" style="2" bestFit="1" customWidth="1"/>
    <col min="7940" max="7940" width="7.5703125" style="2" bestFit="1" customWidth="1"/>
    <col min="7941" max="7941" width="9.85546875" style="2" customWidth="1"/>
    <col min="7942" max="7942" width="23.5703125" style="2" customWidth="1"/>
    <col min="7943" max="8190" width="8.85546875" style="2"/>
    <col min="8191" max="8191" width="5.42578125" style="2" customWidth="1"/>
    <col min="8192" max="8192" width="7" style="2" customWidth="1"/>
    <col min="8193" max="8193" width="29" style="2" customWidth="1"/>
    <col min="8194" max="8194" width="7" style="2" bestFit="1" customWidth="1"/>
    <col min="8195" max="8195" width="4.85546875" style="2" bestFit="1" customWidth="1"/>
    <col min="8196" max="8196" width="7.5703125" style="2" bestFit="1" customWidth="1"/>
    <col min="8197" max="8197" width="9.85546875" style="2" customWidth="1"/>
    <col min="8198" max="8198" width="23.5703125" style="2" customWidth="1"/>
    <col min="8199" max="8446" width="8.85546875" style="2"/>
    <col min="8447" max="8447" width="5.42578125" style="2" customWidth="1"/>
    <col min="8448" max="8448" width="7" style="2" customWidth="1"/>
    <col min="8449" max="8449" width="29" style="2" customWidth="1"/>
    <col min="8450" max="8450" width="7" style="2" bestFit="1" customWidth="1"/>
    <col min="8451" max="8451" width="4.85546875" style="2" bestFit="1" customWidth="1"/>
    <col min="8452" max="8452" width="7.5703125" style="2" bestFit="1" customWidth="1"/>
    <col min="8453" max="8453" width="9.85546875" style="2" customWidth="1"/>
    <col min="8454" max="8454" width="23.5703125" style="2" customWidth="1"/>
    <col min="8455" max="8702" width="8.85546875" style="2"/>
    <col min="8703" max="8703" width="5.42578125" style="2" customWidth="1"/>
    <col min="8704" max="8704" width="7" style="2" customWidth="1"/>
    <col min="8705" max="8705" width="29" style="2" customWidth="1"/>
    <col min="8706" max="8706" width="7" style="2" bestFit="1" customWidth="1"/>
    <col min="8707" max="8707" width="4.85546875" style="2" bestFit="1" customWidth="1"/>
    <col min="8708" max="8708" width="7.5703125" style="2" bestFit="1" customWidth="1"/>
    <col min="8709" max="8709" width="9.85546875" style="2" customWidth="1"/>
    <col min="8710" max="8710" width="23.5703125" style="2" customWidth="1"/>
    <col min="8711" max="8958" width="8.85546875" style="2"/>
    <col min="8959" max="8959" width="5.42578125" style="2" customWidth="1"/>
    <col min="8960" max="8960" width="7" style="2" customWidth="1"/>
    <col min="8961" max="8961" width="29" style="2" customWidth="1"/>
    <col min="8962" max="8962" width="7" style="2" bestFit="1" customWidth="1"/>
    <col min="8963" max="8963" width="4.85546875" style="2" bestFit="1" customWidth="1"/>
    <col min="8964" max="8964" width="7.5703125" style="2" bestFit="1" customWidth="1"/>
    <col min="8965" max="8965" width="9.85546875" style="2" customWidth="1"/>
    <col min="8966" max="8966" width="23.5703125" style="2" customWidth="1"/>
    <col min="8967" max="9214" width="8.85546875" style="2"/>
    <col min="9215" max="9215" width="5.42578125" style="2" customWidth="1"/>
    <col min="9216" max="9216" width="7" style="2" customWidth="1"/>
    <col min="9217" max="9217" width="29" style="2" customWidth="1"/>
    <col min="9218" max="9218" width="7" style="2" bestFit="1" customWidth="1"/>
    <col min="9219" max="9219" width="4.85546875" style="2" bestFit="1" customWidth="1"/>
    <col min="9220" max="9220" width="7.5703125" style="2" bestFit="1" customWidth="1"/>
    <col min="9221" max="9221" width="9.85546875" style="2" customWidth="1"/>
    <col min="9222" max="9222" width="23.5703125" style="2" customWidth="1"/>
    <col min="9223" max="9470" width="8.85546875" style="2"/>
    <col min="9471" max="9471" width="5.42578125" style="2" customWidth="1"/>
    <col min="9472" max="9472" width="7" style="2" customWidth="1"/>
    <col min="9473" max="9473" width="29" style="2" customWidth="1"/>
    <col min="9474" max="9474" width="7" style="2" bestFit="1" customWidth="1"/>
    <col min="9475" max="9475" width="4.85546875" style="2" bestFit="1" customWidth="1"/>
    <col min="9476" max="9476" width="7.5703125" style="2" bestFit="1" customWidth="1"/>
    <col min="9477" max="9477" width="9.85546875" style="2" customWidth="1"/>
    <col min="9478" max="9478" width="23.5703125" style="2" customWidth="1"/>
    <col min="9479" max="9726" width="8.85546875" style="2"/>
    <col min="9727" max="9727" width="5.42578125" style="2" customWidth="1"/>
    <col min="9728" max="9728" width="7" style="2" customWidth="1"/>
    <col min="9729" max="9729" width="29" style="2" customWidth="1"/>
    <col min="9730" max="9730" width="7" style="2" bestFit="1" customWidth="1"/>
    <col min="9731" max="9731" width="4.85546875" style="2" bestFit="1" customWidth="1"/>
    <col min="9732" max="9732" width="7.5703125" style="2" bestFit="1" customWidth="1"/>
    <col min="9733" max="9733" width="9.85546875" style="2" customWidth="1"/>
    <col min="9734" max="9734" width="23.5703125" style="2" customWidth="1"/>
    <col min="9735" max="9982" width="8.85546875" style="2"/>
    <col min="9983" max="9983" width="5.42578125" style="2" customWidth="1"/>
    <col min="9984" max="9984" width="7" style="2" customWidth="1"/>
    <col min="9985" max="9985" width="29" style="2" customWidth="1"/>
    <col min="9986" max="9986" width="7" style="2" bestFit="1" customWidth="1"/>
    <col min="9987" max="9987" width="4.85546875" style="2" bestFit="1" customWidth="1"/>
    <col min="9988" max="9988" width="7.5703125" style="2" bestFit="1" customWidth="1"/>
    <col min="9989" max="9989" width="9.85546875" style="2" customWidth="1"/>
    <col min="9990" max="9990" width="23.5703125" style="2" customWidth="1"/>
    <col min="9991" max="10238" width="8.85546875" style="2"/>
    <col min="10239" max="10239" width="5.42578125" style="2" customWidth="1"/>
    <col min="10240" max="10240" width="7" style="2" customWidth="1"/>
    <col min="10241" max="10241" width="29" style="2" customWidth="1"/>
    <col min="10242" max="10242" width="7" style="2" bestFit="1" customWidth="1"/>
    <col min="10243" max="10243" width="4.85546875" style="2" bestFit="1" customWidth="1"/>
    <col min="10244" max="10244" width="7.5703125" style="2" bestFit="1" customWidth="1"/>
    <col min="10245" max="10245" width="9.85546875" style="2" customWidth="1"/>
    <col min="10246" max="10246" width="23.5703125" style="2" customWidth="1"/>
    <col min="10247" max="10494" width="8.85546875" style="2"/>
    <col min="10495" max="10495" width="5.42578125" style="2" customWidth="1"/>
    <col min="10496" max="10496" width="7" style="2" customWidth="1"/>
    <col min="10497" max="10497" width="29" style="2" customWidth="1"/>
    <col min="10498" max="10498" width="7" style="2" bestFit="1" customWidth="1"/>
    <col min="10499" max="10499" width="4.85546875" style="2" bestFit="1" customWidth="1"/>
    <col min="10500" max="10500" width="7.5703125" style="2" bestFit="1" customWidth="1"/>
    <col min="10501" max="10501" width="9.85546875" style="2" customWidth="1"/>
    <col min="10502" max="10502" width="23.5703125" style="2" customWidth="1"/>
    <col min="10503" max="10750" width="8.85546875" style="2"/>
    <col min="10751" max="10751" width="5.42578125" style="2" customWidth="1"/>
    <col min="10752" max="10752" width="7" style="2" customWidth="1"/>
    <col min="10753" max="10753" width="29" style="2" customWidth="1"/>
    <col min="10754" max="10754" width="7" style="2" bestFit="1" customWidth="1"/>
    <col min="10755" max="10755" width="4.85546875" style="2" bestFit="1" customWidth="1"/>
    <col min="10756" max="10756" width="7.5703125" style="2" bestFit="1" customWidth="1"/>
    <col min="10757" max="10757" width="9.85546875" style="2" customWidth="1"/>
    <col min="10758" max="10758" width="23.5703125" style="2" customWidth="1"/>
    <col min="10759" max="11006" width="8.85546875" style="2"/>
    <col min="11007" max="11007" width="5.42578125" style="2" customWidth="1"/>
    <col min="11008" max="11008" width="7" style="2" customWidth="1"/>
    <col min="11009" max="11009" width="29" style="2" customWidth="1"/>
    <col min="11010" max="11010" width="7" style="2" bestFit="1" customWidth="1"/>
    <col min="11011" max="11011" width="4.85546875" style="2" bestFit="1" customWidth="1"/>
    <col min="11012" max="11012" width="7.5703125" style="2" bestFit="1" customWidth="1"/>
    <col min="11013" max="11013" width="9.85546875" style="2" customWidth="1"/>
    <col min="11014" max="11014" width="23.5703125" style="2" customWidth="1"/>
    <col min="11015" max="11262" width="8.85546875" style="2"/>
    <col min="11263" max="11263" width="5.42578125" style="2" customWidth="1"/>
    <col min="11264" max="11264" width="7" style="2" customWidth="1"/>
    <col min="11265" max="11265" width="29" style="2" customWidth="1"/>
    <col min="11266" max="11266" width="7" style="2" bestFit="1" customWidth="1"/>
    <col min="11267" max="11267" width="4.85546875" style="2" bestFit="1" customWidth="1"/>
    <col min="11268" max="11268" width="7.5703125" style="2" bestFit="1" customWidth="1"/>
    <col min="11269" max="11269" width="9.85546875" style="2" customWidth="1"/>
    <col min="11270" max="11270" width="23.5703125" style="2" customWidth="1"/>
    <col min="11271" max="11518" width="8.85546875" style="2"/>
    <col min="11519" max="11519" width="5.42578125" style="2" customWidth="1"/>
    <col min="11520" max="11520" width="7" style="2" customWidth="1"/>
    <col min="11521" max="11521" width="29" style="2" customWidth="1"/>
    <col min="11522" max="11522" width="7" style="2" bestFit="1" customWidth="1"/>
    <col min="11523" max="11523" width="4.85546875" style="2" bestFit="1" customWidth="1"/>
    <col min="11524" max="11524" width="7.5703125" style="2" bestFit="1" customWidth="1"/>
    <col min="11525" max="11525" width="9.85546875" style="2" customWidth="1"/>
    <col min="11526" max="11526" width="23.5703125" style="2" customWidth="1"/>
    <col min="11527" max="11774" width="8.85546875" style="2"/>
    <col min="11775" max="11775" width="5.42578125" style="2" customWidth="1"/>
    <col min="11776" max="11776" width="7" style="2" customWidth="1"/>
    <col min="11777" max="11777" width="29" style="2" customWidth="1"/>
    <col min="11778" max="11778" width="7" style="2" bestFit="1" customWidth="1"/>
    <col min="11779" max="11779" width="4.85546875" style="2" bestFit="1" customWidth="1"/>
    <col min="11780" max="11780" width="7.5703125" style="2" bestFit="1" customWidth="1"/>
    <col min="11781" max="11781" width="9.85546875" style="2" customWidth="1"/>
    <col min="11782" max="11782" width="23.5703125" style="2" customWidth="1"/>
    <col min="11783" max="12030" width="8.85546875" style="2"/>
    <col min="12031" max="12031" width="5.42578125" style="2" customWidth="1"/>
    <col min="12032" max="12032" width="7" style="2" customWidth="1"/>
    <col min="12033" max="12033" width="29" style="2" customWidth="1"/>
    <col min="12034" max="12034" width="7" style="2" bestFit="1" customWidth="1"/>
    <col min="12035" max="12035" width="4.85546875" style="2" bestFit="1" customWidth="1"/>
    <col min="12036" max="12036" width="7.5703125" style="2" bestFit="1" customWidth="1"/>
    <col min="12037" max="12037" width="9.85546875" style="2" customWidth="1"/>
    <col min="12038" max="12038" width="23.5703125" style="2" customWidth="1"/>
    <col min="12039" max="12286" width="8.85546875" style="2"/>
    <col min="12287" max="12287" width="5.42578125" style="2" customWidth="1"/>
    <col min="12288" max="12288" width="7" style="2" customWidth="1"/>
    <col min="12289" max="12289" width="29" style="2" customWidth="1"/>
    <col min="12290" max="12290" width="7" style="2" bestFit="1" customWidth="1"/>
    <col min="12291" max="12291" width="4.85546875" style="2" bestFit="1" customWidth="1"/>
    <col min="12292" max="12292" width="7.5703125" style="2" bestFit="1" customWidth="1"/>
    <col min="12293" max="12293" width="9.85546875" style="2" customWidth="1"/>
    <col min="12294" max="12294" width="23.5703125" style="2" customWidth="1"/>
    <col min="12295" max="12542" width="8.85546875" style="2"/>
    <col min="12543" max="12543" width="5.42578125" style="2" customWidth="1"/>
    <col min="12544" max="12544" width="7" style="2" customWidth="1"/>
    <col min="12545" max="12545" width="29" style="2" customWidth="1"/>
    <col min="12546" max="12546" width="7" style="2" bestFit="1" customWidth="1"/>
    <col min="12547" max="12547" width="4.85546875" style="2" bestFit="1" customWidth="1"/>
    <col min="12548" max="12548" width="7.5703125" style="2" bestFit="1" customWidth="1"/>
    <col min="12549" max="12549" width="9.85546875" style="2" customWidth="1"/>
    <col min="12550" max="12550" width="23.5703125" style="2" customWidth="1"/>
    <col min="12551" max="12798" width="8.85546875" style="2"/>
    <col min="12799" max="12799" width="5.42578125" style="2" customWidth="1"/>
    <col min="12800" max="12800" width="7" style="2" customWidth="1"/>
    <col min="12801" max="12801" width="29" style="2" customWidth="1"/>
    <col min="12802" max="12802" width="7" style="2" bestFit="1" customWidth="1"/>
    <col min="12803" max="12803" width="4.85546875" style="2" bestFit="1" customWidth="1"/>
    <col min="12804" max="12804" width="7.5703125" style="2" bestFit="1" customWidth="1"/>
    <col min="12805" max="12805" width="9.85546875" style="2" customWidth="1"/>
    <col min="12806" max="12806" width="23.5703125" style="2" customWidth="1"/>
    <col min="12807" max="13054" width="8.85546875" style="2"/>
    <col min="13055" max="13055" width="5.42578125" style="2" customWidth="1"/>
    <col min="13056" max="13056" width="7" style="2" customWidth="1"/>
    <col min="13057" max="13057" width="29" style="2" customWidth="1"/>
    <col min="13058" max="13058" width="7" style="2" bestFit="1" customWidth="1"/>
    <col min="13059" max="13059" width="4.85546875" style="2" bestFit="1" customWidth="1"/>
    <col min="13060" max="13060" width="7.5703125" style="2" bestFit="1" customWidth="1"/>
    <col min="13061" max="13061" width="9.85546875" style="2" customWidth="1"/>
    <col min="13062" max="13062" width="23.5703125" style="2" customWidth="1"/>
    <col min="13063" max="13310" width="8.85546875" style="2"/>
    <col min="13311" max="13311" width="5.42578125" style="2" customWidth="1"/>
    <col min="13312" max="13312" width="7" style="2" customWidth="1"/>
    <col min="13313" max="13313" width="29" style="2" customWidth="1"/>
    <col min="13314" max="13314" width="7" style="2" bestFit="1" customWidth="1"/>
    <col min="13315" max="13315" width="4.85546875" style="2" bestFit="1" customWidth="1"/>
    <col min="13316" max="13316" width="7.5703125" style="2" bestFit="1" customWidth="1"/>
    <col min="13317" max="13317" width="9.85546875" style="2" customWidth="1"/>
    <col min="13318" max="13318" width="23.5703125" style="2" customWidth="1"/>
    <col min="13319" max="13566" width="8.85546875" style="2"/>
    <col min="13567" max="13567" width="5.42578125" style="2" customWidth="1"/>
    <col min="13568" max="13568" width="7" style="2" customWidth="1"/>
    <col min="13569" max="13569" width="29" style="2" customWidth="1"/>
    <col min="13570" max="13570" width="7" style="2" bestFit="1" customWidth="1"/>
    <col min="13571" max="13571" width="4.85546875" style="2" bestFit="1" customWidth="1"/>
    <col min="13572" max="13572" width="7.5703125" style="2" bestFit="1" customWidth="1"/>
    <col min="13573" max="13573" width="9.85546875" style="2" customWidth="1"/>
    <col min="13574" max="13574" width="23.5703125" style="2" customWidth="1"/>
    <col min="13575" max="13822" width="8.85546875" style="2"/>
    <col min="13823" max="13823" width="5.42578125" style="2" customWidth="1"/>
    <col min="13824" max="13824" width="7" style="2" customWidth="1"/>
    <col min="13825" max="13825" width="29" style="2" customWidth="1"/>
    <col min="13826" max="13826" width="7" style="2" bestFit="1" customWidth="1"/>
    <col min="13827" max="13827" width="4.85546875" style="2" bestFit="1" customWidth="1"/>
    <col min="13828" max="13828" width="7.5703125" style="2" bestFit="1" customWidth="1"/>
    <col min="13829" max="13829" width="9.85546875" style="2" customWidth="1"/>
    <col min="13830" max="13830" width="23.5703125" style="2" customWidth="1"/>
    <col min="13831" max="14078" width="8.85546875" style="2"/>
    <col min="14079" max="14079" width="5.42578125" style="2" customWidth="1"/>
    <col min="14080" max="14080" width="7" style="2" customWidth="1"/>
    <col min="14081" max="14081" width="29" style="2" customWidth="1"/>
    <col min="14082" max="14082" width="7" style="2" bestFit="1" customWidth="1"/>
    <col min="14083" max="14083" width="4.85546875" style="2" bestFit="1" customWidth="1"/>
    <col min="14084" max="14084" width="7.5703125" style="2" bestFit="1" customWidth="1"/>
    <col min="14085" max="14085" width="9.85546875" style="2" customWidth="1"/>
    <col min="14086" max="14086" width="23.5703125" style="2" customWidth="1"/>
    <col min="14087" max="14334" width="8.85546875" style="2"/>
    <col min="14335" max="14335" width="5.42578125" style="2" customWidth="1"/>
    <col min="14336" max="14336" width="7" style="2" customWidth="1"/>
    <col min="14337" max="14337" width="29" style="2" customWidth="1"/>
    <col min="14338" max="14338" width="7" style="2" bestFit="1" customWidth="1"/>
    <col min="14339" max="14339" width="4.85546875" style="2" bestFit="1" customWidth="1"/>
    <col min="14340" max="14340" width="7.5703125" style="2" bestFit="1" customWidth="1"/>
    <col min="14341" max="14341" width="9.85546875" style="2" customWidth="1"/>
    <col min="14342" max="14342" width="23.5703125" style="2" customWidth="1"/>
    <col min="14343" max="14590" width="8.85546875" style="2"/>
    <col min="14591" max="14591" width="5.42578125" style="2" customWidth="1"/>
    <col min="14592" max="14592" width="7" style="2" customWidth="1"/>
    <col min="14593" max="14593" width="29" style="2" customWidth="1"/>
    <col min="14594" max="14594" width="7" style="2" bestFit="1" customWidth="1"/>
    <col min="14595" max="14595" width="4.85546875" style="2" bestFit="1" customWidth="1"/>
    <col min="14596" max="14596" width="7.5703125" style="2" bestFit="1" customWidth="1"/>
    <col min="14597" max="14597" width="9.85546875" style="2" customWidth="1"/>
    <col min="14598" max="14598" width="23.5703125" style="2" customWidth="1"/>
    <col min="14599" max="14846" width="8.85546875" style="2"/>
    <col min="14847" max="14847" width="5.42578125" style="2" customWidth="1"/>
    <col min="14848" max="14848" width="7" style="2" customWidth="1"/>
    <col min="14849" max="14849" width="29" style="2" customWidth="1"/>
    <col min="14850" max="14850" width="7" style="2" bestFit="1" customWidth="1"/>
    <col min="14851" max="14851" width="4.85546875" style="2" bestFit="1" customWidth="1"/>
    <col min="14852" max="14852" width="7.5703125" style="2" bestFit="1" customWidth="1"/>
    <col min="14853" max="14853" width="9.85546875" style="2" customWidth="1"/>
    <col min="14854" max="14854" width="23.5703125" style="2" customWidth="1"/>
    <col min="14855" max="15102" width="8.85546875" style="2"/>
    <col min="15103" max="15103" width="5.42578125" style="2" customWidth="1"/>
    <col min="15104" max="15104" width="7" style="2" customWidth="1"/>
    <col min="15105" max="15105" width="29" style="2" customWidth="1"/>
    <col min="15106" max="15106" width="7" style="2" bestFit="1" customWidth="1"/>
    <col min="15107" max="15107" width="4.85546875" style="2" bestFit="1" customWidth="1"/>
    <col min="15108" max="15108" width="7.5703125" style="2" bestFit="1" customWidth="1"/>
    <col min="15109" max="15109" width="9.85546875" style="2" customWidth="1"/>
    <col min="15110" max="15110" width="23.5703125" style="2" customWidth="1"/>
    <col min="15111" max="15358" width="8.85546875" style="2"/>
    <col min="15359" max="15359" width="5.42578125" style="2" customWidth="1"/>
    <col min="15360" max="15360" width="7" style="2" customWidth="1"/>
    <col min="15361" max="15361" width="29" style="2" customWidth="1"/>
    <col min="15362" max="15362" width="7" style="2" bestFit="1" customWidth="1"/>
    <col min="15363" max="15363" width="4.85546875" style="2" bestFit="1" customWidth="1"/>
    <col min="15364" max="15364" width="7.5703125" style="2" bestFit="1" customWidth="1"/>
    <col min="15365" max="15365" width="9.85546875" style="2" customWidth="1"/>
    <col min="15366" max="15366" width="23.5703125" style="2" customWidth="1"/>
    <col min="15367" max="15614" width="8.85546875" style="2"/>
    <col min="15615" max="15615" width="5.42578125" style="2" customWidth="1"/>
    <col min="15616" max="15616" width="7" style="2" customWidth="1"/>
    <col min="15617" max="15617" width="29" style="2" customWidth="1"/>
    <col min="15618" max="15618" width="7" style="2" bestFit="1" customWidth="1"/>
    <col min="15619" max="15619" width="4.85546875" style="2" bestFit="1" customWidth="1"/>
    <col min="15620" max="15620" width="7.5703125" style="2" bestFit="1" customWidth="1"/>
    <col min="15621" max="15621" width="9.85546875" style="2" customWidth="1"/>
    <col min="15622" max="15622" width="23.5703125" style="2" customWidth="1"/>
    <col min="15623" max="15870" width="8.85546875" style="2"/>
    <col min="15871" max="15871" width="5.42578125" style="2" customWidth="1"/>
    <col min="15872" max="15872" width="7" style="2" customWidth="1"/>
    <col min="15873" max="15873" width="29" style="2" customWidth="1"/>
    <col min="15874" max="15874" width="7" style="2" bestFit="1" customWidth="1"/>
    <col min="15875" max="15875" width="4.85546875" style="2" bestFit="1" customWidth="1"/>
    <col min="15876" max="15876" width="7.5703125" style="2" bestFit="1" customWidth="1"/>
    <col min="15877" max="15877" width="9.85546875" style="2" customWidth="1"/>
    <col min="15878" max="15878" width="23.5703125" style="2" customWidth="1"/>
    <col min="15879" max="16126" width="8.85546875" style="2"/>
    <col min="16127" max="16127" width="5.42578125" style="2" customWidth="1"/>
    <col min="16128" max="16128" width="7" style="2" customWidth="1"/>
    <col min="16129" max="16129" width="29" style="2" customWidth="1"/>
    <col min="16130" max="16130" width="7" style="2" bestFit="1" customWidth="1"/>
    <col min="16131" max="16131" width="4.85546875" style="2" bestFit="1" customWidth="1"/>
    <col min="16132" max="16132" width="7.5703125" style="2" bestFit="1" customWidth="1"/>
    <col min="16133" max="16133" width="9.85546875" style="2" customWidth="1"/>
    <col min="16134" max="16134" width="23.5703125" style="2" customWidth="1"/>
    <col min="16135" max="16384" width="8.85546875" style="2"/>
  </cols>
  <sheetData>
    <row r="1" spans="1:8">
      <c r="A1" s="11"/>
      <c r="B1" s="11"/>
      <c r="C1" s="11"/>
      <c r="D1" s="14" t="s">
        <v>52</v>
      </c>
      <c r="E1" s="11"/>
    </row>
    <row r="2" spans="1:8">
      <c r="A2" s="4" t="s">
        <v>41</v>
      </c>
      <c r="B2" s="4"/>
      <c r="C2" s="42" t="str">
        <f>Title!B6</f>
        <v>Plumbing Installation and MTC work at Govt. Nehru hostel Mansarovar, Sanganer, Jaipur</v>
      </c>
      <c r="D2" s="4"/>
      <c r="E2" s="4"/>
      <c r="F2" s="4"/>
      <c r="G2" s="4"/>
      <c r="H2" s="4"/>
    </row>
    <row r="3" spans="1:8">
      <c r="A3" s="15" t="s">
        <v>34</v>
      </c>
      <c r="B3" s="1"/>
      <c r="C3" s="43" t="str">
        <f>Title!B5</f>
        <v>M/s. Shree Krishna Builders Jaipur</v>
      </c>
    </row>
    <row r="4" spans="1:8">
      <c r="A4" s="2" t="s">
        <v>53</v>
      </c>
      <c r="B4" s="1"/>
      <c r="C4" s="43" t="str">
        <f>Title!B9</f>
        <v>0511 Dt. 05-11-2023</v>
      </c>
    </row>
    <row r="5" spans="1:8" ht="13.5" customHeight="1"/>
    <row r="6" spans="1:8" s="1" customFormat="1" ht="36">
      <c r="A6" s="16" t="s">
        <v>13</v>
      </c>
      <c r="B6" s="16" t="s">
        <v>51</v>
      </c>
      <c r="C6" s="16" t="s">
        <v>50</v>
      </c>
      <c r="D6" s="16" t="s">
        <v>49</v>
      </c>
      <c r="E6" s="16" t="s">
        <v>65</v>
      </c>
      <c r="F6" s="16" t="s">
        <v>4</v>
      </c>
      <c r="G6" s="16" t="s">
        <v>5</v>
      </c>
      <c r="H6" s="16" t="s">
        <v>12</v>
      </c>
    </row>
    <row r="7" spans="1:8">
      <c r="A7" s="17" t="s">
        <v>43</v>
      </c>
      <c r="B7" s="16"/>
      <c r="C7" s="18" t="s">
        <v>33</v>
      </c>
      <c r="D7" s="13">
        <v>2</v>
      </c>
      <c r="E7" s="13" t="s">
        <v>6</v>
      </c>
      <c r="F7" s="19">
        <v>5075</v>
      </c>
      <c r="G7" s="21">
        <f>IF(ISBLANK(D7),"",ROUND(D7*F7,0))</f>
        <v>10150</v>
      </c>
      <c r="H7" s="20"/>
    </row>
    <row r="8" spans="1:8">
      <c r="A8" s="17" t="s">
        <v>44</v>
      </c>
      <c r="B8" s="16"/>
      <c r="C8" s="18" t="s">
        <v>31</v>
      </c>
      <c r="D8" s="13">
        <v>4</v>
      </c>
      <c r="E8" s="13" t="s">
        <v>6</v>
      </c>
      <c r="F8" s="19">
        <v>107</v>
      </c>
      <c r="G8" s="21">
        <f t="shared" ref="G8:G12" si="0">IF(ISBLANK(D8),"",ROUND(D8*F8,0))</f>
        <v>428</v>
      </c>
      <c r="H8" s="20"/>
    </row>
    <row r="9" spans="1:8">
      <c r="A9" s="17" t="s">
        <v>45</v>
      </c>
      <c r="B9" s="16"/>
      <c r="C9" s="18" t="s">
        <v>32</v>
      </c>
      <c r="D9" s="13">
        <v>5</v>
      </c>
      <c r="E9" s="13" t="s">
        <v>6</v>
      </c>
      <c r="F9" s="19">
        <v>176</v>
      </c>
      <c r="G9" s="21">
        <f t="shared" si="0"/>
        <v>880</v>
      </c>
      <c r="H9" s="20"/>
    </row>
    <row r="10" spans="1:8" ht="72">
      <c r="A10" s="17" t="s">
        <v>46</v>
      </c>
      <c r="B10" s="16"/>
      <c r="C10" s="18" t="s">
        <v>30</v>
      </c>
      <c r="D10" s="13">
        <v>5</v>
      </c>
      <c r="E10" s="13" t="s">
        <v>6</v>
      </c>
      <c r="F10" s="19">
        <v>345</v>
      </c>
      <c r="G10" s="21">
        <f t="shared" si="0"/>
        <v>1725</v>
      </c>
      <c r="H10" s="20"/>
    </row>
    <row r="11" spans="1:8">
      <c r="A11" s="17" t="s">
        <v>47</v>
      </c>
      <c r="B11" s="16"/>
      <c r="C11" s="18" t="s">
        <v>31</v>
      </c>
      <c r="D11" s="13">
        <v>4</v>
      </c>
      <c r="E11" s="13" t="s">
        <v>6</v>
      </c>
      <c r="F11" s="19">
        <v>107</v>
      </c>
      <c r="G11" s="21">
        <f t="shared" si="0"/>
        <v>428</v>
      </c>
      <c r="H11" s="20"/>
    </row>
    <row r="12" spans="1:8">
      <c r="A12" s="17" t="s">
        <v>48</v>
      </c>
      <c r="B12" s="16"/>
      <c r="C12" s="18" t="s">
        <v>32</v>
      </c>
      <c r="D12" s="13">
        <v>5</v>
      </c>
      <c r="E12" s="13" t="s">
        <v>6</v>
      </c>
      <c r="F12" s="19">
        <v>176</v>
      </c>
      <c r="G12" s="21">
        <f t="shared" si="0"/>
        <v>880</v>
      </c>
      <c r="H12" s="20"/>
    </row>
    <row r="13" spans="1:8" ht="12.75" thickBot="1">
      <c r="A13" s="25"/>
      <c r="B13" s="26"/>
      <c r="C13" s="6" t="s">
        <v>57</v>
      </c>
      <c r="D13" s="5"/>
      <c r="E13" s="5"/>
      <c r="F13" s="5"/>
      <c r="G13" s="5">
        <f>SUM(G7:G12)</f>
        <v>14491</v>
      </c>
      <c r="H13" s="27"/>
    </row>
    <row r="14" spans="1:8" ht="12.75" thickBot="1">
      <c r="A14" s="12"/>
      <c r="B14" s="1"/>
      <c r="C14" s="6" t="s">
        <v>58</v>
      </c>
      <c r="D14" s="30" t="s">
        <v>56</v>
      </c>
      <c r="E14" s="45">
        <f>Title!B17</f>
        <v>5.1100000000000003</v>
      </c>
      <c r="F14" s="44" t="str">
        <f>Title!B18</f>
        <v>Above</v>
      </c>
      <c r="G14" s="5">
        <f>IF(F14 &gt; 0,  IF(F14 = "above", ROUND(G13 * E14 / 100, 0), IF(F14 = "below", -ROUND(G13 * E14 / 100, 0), IF(F14 = 0, 0, 0))))</f>
        <v>740</v>
      </c>
    </row>
    <row r="15" spans="1:8" ht="12.75" thickBot="1">
      <c r="A15" s="12"/>
      <c r="B15" s="1"/>
      <c r="C15" s="28" t="s">
        <v>59</v>
      </c>
      <c r="D15" s="29"/>
      <c r="E15" s="29"/>
      <c r="F15" s="29"/>
      <c r="G15" s="23">
        <f>G13+G14</f>
        <v>15231</v>
      </c>
    </row>
    <row r="16" spans="1:8">
      <c r="A16" s="12"/>
      <c r="B16" s="3"/>
      <c r="C16" s="3"/>
    </row>
    <row r="17" spans="1:3">
      <c r="A17" s="12"/>
      <c r="B17" s="3"/>
      <c r="C17" s="3"/>
    </row>
    <row r="18" spans="1:3">
      <c r="A18" s="12"/>
      <c r="B18" s="3"/>
      <c r="C18" s="3"/>
    </row>
    <row r="19" spans="1:3">
      <c r="A19" s="12"/>
      <c r="B19" s="3"/>
      <c r="C19" s="3"/>
    </row>
    <row r="20" spans="1:3">
      <c r="A20" s="12"/>
      <c r="B20" s="3"/>
      <c r="C20" s="3"/>
    </row>
    <row r="21" spans="1:3">
      <c r="A21" s="12"/>
      <c r="B21" s="3"/>
      <c r="C21" s="3"/>
    </row>
    <row r="22" spans="1:3">
      <c r="A22" s="12"/>
      <c r="B22" s="3"/>
      <c r="C22" s="3"/>
    </row>
    <row r="23" spans="1:3">
      <c r="A23" s="12"/>
      <c r="B23" s="3"/>
      <c r="C23" s="3"/>
    </row>
    <row r="24" spans="1:3">
      <c r="A24" s="12"/>
      <c r="B24" s="3"/>
      <c r="C24" s="3"/>
    </row>
    <row r="25" spans="1:3">
      <c r="A25" s="12"/>
      <c r="B25" s="3"/>
      <c r="C25" s="3"/>
    </row>
    <row r="26" spans="1:3">
      <c r="A26" s="12"/>
      <c r="B26" s="3"/>
      <c r="C26" s="3"/>
    </row>
    <row r="27" spans="1:3">
      <c r="A27" s="12"/>
      <c r="B27" s="3"/>
      <c r="C27" s="3"/>
    </row>
    <row r="28" spans="1:3">
      <c r="A28" s="12"/>
      <c r="B28" s="3"/>
      <c r="C28" s="3"/>
    </row>
    <row r="29" spans="1:3">
      <c r="A29" s="12"/>
      <c r="B29" s="3"/>
      <c r="C29" s="3"/>
    </row>
    <row r="30" spans="1:3">
      <c r="A30" s="12"/>
      <c r="B30" s="3"/>
      <c r="C30" s="3"/>
    </row>
    <row r="31" spans="1:3">
      <c r="A31" s="12"/>
      <c r="B31" s="3"/>
      <c r="C31" s="3"/>
    </row>
    <row r="32" spans="1:3">
      <c r="A32" s="12"/>
      <c r="B32" s="3"/>
      <c r="C32" s="3"/>
    </row>
    <row r="33" spans="1:3">
      <c r="A33" s="12"/>
      <c r="B33" s="3"/>
      <c r="C33" s="3"/>
    </row>
    <row r="34" spans="1:3">
      <c r="A34" s="12"/>
      <c r="B34" s="3"/>
      <c r="C34" s="3"/>
    </row>
    <row r="35" spans="1:3">
      <c r="A35" s="12"/>
      <c r="B35" s="3"/>
      <c r="C35" s="3"/>
    </row>
    <row r="36" spans="1:3">
      <c r="A36" s="12"/>
      <c r="B36" s="3"/>
      <c r="C36" s="3"/>
    </row>
    <row r="37" spans="1:3">
      <c r="A37" s="12"/>
      <c r="B37" s="3"/>
      <c r="C37" s="3"/>
    </row>
    <row r="38" spans="1:3">
      <c r="A38" s="12"/>
      <c r="B38" s="3"/>
      <c r="C38" s="3"/>
    </row>
    <row r="39" spans="1:3">
      <c r="A39" s="12"/>
      <c r="B39" s="3"/>
      <c r="C39" s="3"/>
    </row>
    <row r="40" spans="1:3">
      <c r="A40" s="12"/>
      <c r="B40" s="3"/>
      <c r="C40" s="3"/>
    </row>
    <row r="41" spans="1:3">
      <c r="A41" s="12"/>
      <c r="B41" s="3"/>
      <c r="C41" s="3"/>
    </row>
    <row r="42" spans="1:3">
      <c r="A42" s="12"/>
      <c r="B42" s="3"/>
      <c r="C42" s="3"/>
    </row>
    <row r="43" spans="1:3">
      <c r="A43" s="12"/>
      <c r="B43" s="3"/>
      <c r="C43" s="3"/>
    </row>
    <row r="44" spans="1:3">
      <c r="A44" s="12"/>
      <c r="B44" s="3"/>
      <c r="C44" s="3"/>
    </row>
    <row r="45" spans="1:3">
      <c r="A45" s="12"/>
      <c r="B45" s="3"/>
      <c r="C45" s="3"/>
    </row>
    <row r="46" spans="1:3">
      <c r="A46" s="12"/>
      <c r="B46" s="3"/>
      <c r="C46" s="3"/>
    </row>
    <row r="47" spans="1:3">
      <c r="A47" s="12"/>
      <c r="B47" s="3"/>
      <c r="C47" s="3"/>
    </row>
    <row r="48" spans="1:3">
      <c r="A48" s="12"/>
      <c r="B48" s="3"/>
      <c r="C48" s="3"/>
    </row>
    <row r="49" spans="1:3">
      <c r="A49" s="12"/>
      <c r="B49" s="3"/>
      <c r="C49" s="3"/>
    </row>
    <row r="50" spans="1:3">
      <c r="A50" s="12"/>
      <c r="B50" s="3"/>
      <c r="C50" s="3"/>
    </row>
    <row r="51" spans="1:3">
      <c r="A51" s="12"/>
      <c r="B51" s="3"/>
      <c r="C51" s="3"/>
    </row>
    <row r="52" spans="1:3">
      <c r="A52" s="12"/>
      <c r="B52" s="3"/>
      <c r="C52" s="3"/>
    </row>
    <row r="53" spans="1:3">
      <c r="A53" s="12"/>
      <c r="B53" s="3"/>
      <c r="C53" s="3"/>
    </row>
    <row r="54" spans="1:3">
      <c r="A54" s="12"/>
      <c r="B54" s="3"/>
      <c r="C54" s="3"/>
    </row>
    <row r="55" spans="1:3">
      <c r="A55" s="12"/>
      <c r="B55" s="3"/>
      <c r="C55" s="3"/>
    </row>
    <row r="56" spans="1:3">
      <c r="A56" s="12"/>
      <c r="B56" s="3"/>
      <c r="C56" s="3"/>
    </row>
    <row r="57" spans="1:3">
      <c r="A57" s="12"/>
      <c r="B57" s="3"/>
      <c r="C57" s="3"/>
    </row>
    <row r="58" spans="1:3">
      <c r="A58" s="12"/>
      <c r="B58" s="3"/>
      <c r="C58" s="3"/>
    </row>
    <row r="59" spans="1:3">
      <c r="A59" s="12"/>
      <c r="B59" s="3"/>
      <c r="C59" s="3"/>
    </row>
    <row r="60" spans="1:3">
      <c r="A60" s="12"/>
      <c r="B60" s="3"/>
      <c r="C60" s="3"/>
    </row>
    <row r="61" spans="1:3">
      <c r="A61" s="12"/>
      <c r="B61" s="3"/>
      <c r="C61" s="3"/>
    </row>
    <row r="62" spans="1:3">
      <c r="B62" s="3"/>
      <c r="C62" s="3"/>
    </row>
    <row r="63" spans="1:3">
      <c r="B63" s="3"/>
      <c r="C63" s="3"/>
    </row>
    <row r="64" spans="1:3">
      <c r="B64" s="3"/>
      <c r="C64" s="3"/>
    </row>
    <row r="65" spans="2:3">
      <c r="B65" s="3"/>
      <c r="C65" s="3"/>
    </row>
    <row r="66" spans="2:3">
      <c r="B66" s="3"/>
      <c r="C66" s="3"/>
    </row>
    <row r="67" spans="2:3">
      <c r="B67" s="3"/>
      <c r="C67" s="3"/>
    </row>
    <row r="68" spans="2:3">
      <c r="B68" s="3"/>
      <c r="C68" s="3"/>
    </row>
    <row r="69" spans="2:3">
      <c r="C69" s="3"/>
    </row>
    <row r="70" spans="2:3">
      <c r="C70" s="3"/>
    </row>
    <row r="71" spans="2:3">
      <c r="C71" s="3"/>
    </row>
    <row r="72" spans="2:3">
      <c r="C72" s="3"/>
    </row>
  </sheetData>
  <printOptions horizontalCentered="1"/>
  <pageMargins left="0.25" right="0.25" top="0.25" bottom="0.6" header="0.19685039370078738" footer="0.59055118110236215"/>
  <pageSetup paperSize="9" scale="56" fitToHeight="3" orientation="portrait" horizontalDpi="300" verticalDpi="300" r:id="rId1"/>
  <headerFooter alignWithMargins="0">
    <oddFooter>&amp;L&amp;8Prepared at Bapna Agn.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8A2A3-345C-4ABA-A1F9-02A39D5381A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Title</vt:lpstr>
      <vt:lpstr>Work Order</vt:lpstr>
      <vt:lpstr>Bill Quantity</vt:lpstr>
      <vt:lpstr>Extra Items</vt:lpstr>
      <vt:lpstr>'Bill Quantity'!Print_Area</vt:lpstr>
      <vt:lpstr>'Extra Items'!Print_Area</vt:lpstr>
      <vt:lpstr>'Extra Items'!Print_Titles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 Singh Chauhan</dc:creator>
  <cp:lastModifiedBy>Rajkumar</cp:lastModifiedBy>
  <cp:lastPrinted>2025-05-19T07:33:15Z</cp:lastPrinted>
  <dcterms:created xsi:type="dcterms:W3CDTF">2025-01-28T09:52:28Z</dcterms:created>
  <dcterms:modified xsi:type="dcterms:W3CDTF">2025-11-04T19:47:46Z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{C5D8A2A3-345C-4ABA-A1F9-02A39D5381A2}</vt:lpwstr>
  </property>
</Properties>
</file>