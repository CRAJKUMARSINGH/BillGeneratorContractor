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BillGeneratorUnified\TEST_INPUT_FILES\"/>
    </mc:Choice>
  </mc:AlternateContent>
  <bookViews>
    <workbookView minimized="1" xWindow="-105" yWindow="-105" windowWidth="23250" windowHeight="12570" tabRatio="615"/>
  </bookViews>
  <sheets>
    <sheet name="Title" sheetId="23" r:id="rId1"/>
    <sheet name="Work Order" sheetId="19" r:id="rId2"/>
    <sheet name="Bill Quantity" sheetId="22" r:id="rId3"/>
    <sheet name="Extra Items" sheetId="12" r:id="rId4"/>
  </sheets>
  <definedNames>
    <definedName name="payable_amount">#REF!</definedName>
    <definedName name="_xlnm.Print_Area" localSheetId="2">'Bill Quantity'!$A$1:$G$41</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3" l="1"/>
  <c r="B15" i="23"/>
  <c r="B14" i="23"/>
  <c r="B13" i="23"/>
  <c r="E38" i="22" l="1"/>
  <c r="F38" i="22" s="1"/>
  <c r="F39" i="22" s="1"/>
  <c r="D38" i="22"/>
  <c r="F37" i="22"/>
  <c r="E38" i="19" l="1"/>
  <c r="D38" i="19"/>
  <c r="F14" i="12"/>
  <c r="E14" i="12"/>
  <c r="C4" i="12"/>
  <c r="C3" i="12"/>
  <c r="C2" i="12"/>
  <c r="F36" i="22" l="1"/>
  <c r="F35" i="22"/>
  <c r="F34" i="22"/>
  <c r="F33" i="22"/>
  <c r="F32" i="22"/>
  <c r="F31" i="22"/>
  <c r="F30" i="22"/>
  <c r="F29" i="22"/>
  <c r="F28" i="22"/>
  <c r="F26" i="22"/>
  <c r="F24" i="22"/>
  <c r="F22" i="22"/>
  <c r="F21" i="22"/>
  <c r="F20" i="22"/>
  <c r="F19" i="22"/>
  <c r="F18" i="22"/>
  <c r="F17" i="22"/>
  <c r="F16" i="22"/>
  <c r="F15" i="22"/>
  <c r="F14" i="22"/>
  <c r="F13" i="22"/>
  <c r="F12" i="22"/>
  <c r="F11" i="22"/>
  <c r="F10" i="22"/>
  <c r="F9" i="22"/>
  <c r="F8" i="22"/>
  <c r="F7" i="22"/>
  <c r="F5" i="22"/>
  <c r="F4" i="22"/>
  <c r="F3" i="22"/>
  <c r="F2" i="22"/>
  <c r="F36" i="19" l="1"/>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G12" i="12"/>
  <c r="G11" i="12"/>
  <c r="G10" i="12"/>
  <c r="G9" i="12"/>
  <c r="G8" i="12"/>
  <c r="G7" i="12"/>
  <c r="G13" i="12" l="1"/>
  <c r="G14" i="12" s="1"/>
  <c r="G15" i="12" s="1"/>
  <c r="F37" i="19"/>
  <c r="F38" i="19" l="1"/>
  <c r="F39" i="19" s="1"/>
  <c r="B11" i="23" s="1"/>
</calcChain>
</file>

<file path=xl/sharedStrings.xml><?xml version="1.0" encoding="utf-8"?>
<sst xmlns="http://schemas.openxmlformats.org/spreadsheetml/2006/main" count="240" uniqueCount="117">
  <si>
    <t>Item</t>
  </si>
  <si>
    <t>Description</t>
  </si>
  <si>
    <t>Unit</t>
  </si>
  <si>
    <t>Quantity</t>
  </si>
  <si>
    <t>Rate</t>
  </si>
  <si>
    <t>Amount</t>
  </si>
  <si>
    <t>Each</t>
  </si>
  <si>
    <t>Mtr.</t>
  </si>
  <si>
    <t>20 mm</t>
  </si>
  <si>
    <t>Short point (up to 3 mtr.)</t>
  </si>
  <si>
    <t>Medium point (up to 6 mtr.)</t>
  </si>
  <si>
    <t>On board</t>
  </si>
  <si>
    <t>25 mm</t>
  </si>
  <si>
    <t>P. point</t>
  </si>
  <si>
    <t>Set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</si>
  <si>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</si>
  <si>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</si>
  <si>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</si>
  <si>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</si>
  <si>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</si>
  <si>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</si>
  <si>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</si>
  <si>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</si>
  <si>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</si>
  <si>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</si>
  <si>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</si>
  <si>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</si>
  <si>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</si>
  <si>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</si>
  <si>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</si>
  <si>
    <t>R. mtr.</t>
  </si>
  <si>
    <t>2 x 2.5 sq. mm. + 1x1.5sqmm</t>
  </si>
  <si>
    <t>2 x 4.0 sq. mm. + 1 x 2.5 sq. mm.</t>
  </si>
  <si>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</si>
  <si>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</si>
  <si>
    <t xml:space="preserve">8 SWG G.I. ( Hot Dipped  ) Wire </t>
  </si>
  <si>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</si>
  <si>
    <t>1200 mm Sweep BEE 1 Star rated (service value &gt;=4.0 to &lt; 4.5 )</t>
  </si>
  <si>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</si>
  <si>
    <t>1170mm(+/-10%) LED batten with min. lumen output 2200 lm</t>
  </si>
  <si>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</si>
  <si>
    <t>Single pole MCB   (With B/C curve tripping Characteristics)</t>
  </si>
  <si>
    <t xml:space="preserve"> 6 A to 32 A rating</t>
  </si>
  <si>
    <t>Double pole MCB(With B/C curve tripping Characteristics)</t>
  </si>
  <si>
    <t xml:space="preserve"> 50/63 A rating</t>
  </si>
  <si>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</si>
  <si>
    <t>Metal door (single phase) IK-09 and IP-43 with Metal end box</t>
  </si>
  <si>
    <t>8 Way (8+2)</t>
  </si>
  <si>
    <t xml:space="preserve">Date of written order to commence work : </t>
  </si>
  <si>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</si>
  <si>
    <t>1.5.1</t>
  </si>
  <si>
    <t>1.5.2</t>
  </si>
  <si>
    <t>1.5.3</t>
  </si>
  <si>
    <t>1.7.1</t>
  </si>
  <si>
    <t>7.10</t>
  </si>
  <si>
    <t>1.4.1</t>
  </si>
  <si>
    <t>1.4.2</t>
  </si>
  <si>
    <t>4.1.7</t>
  </si>
  <si>
    <t>4.1.14</t>
  </si>
  <si>
    <t>14.6.8</t>
  </si>
  <si>
    <t>15.7.1</t>
  </si>
  <si>
    <t>17.1.1</t>
  </si>
  <si>
    <t>6.1.1</t>
  </si>
  <si>
    <t>6.1.1.2</t>
  </si>
  <si>
    <t>6.1.2</t>
  </si>
  <si>
    <t>6.1.2.4</t>
  </si>
  <si>
    <t>6.10.1</t>
  </si>
  <si>
    <t>6.10.1.3</t>
  </si>
  <si>
    <t>BSR</t>
  </si>
  <si>
    <t>Agreement No.</t>
  </si>
  <si>
    <t xml:space="preserve">St. date of completion : </t>
  </si>
  <si>
    <t xml:space="preserve">Date of actual completion of work : </t>
  </si>
  <si>
    <t xml:space="preserve">Date of measurement : </t>
  </si>
  <si>
    <t xml:space="preserve">St. date of Start : </t>
  </si>
  <si>
    <t>48/2024-25</t>
  </si>
  <si>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</si>
  <si>
    <t>6 A 3/5 pin shuttered socket</t>
  </si>
  <si>
    <t>6/16 A shuttered socket</t>
  </si>
  <si>
    <t xml:space="preserve"> Minimum lumen output 2500 Im Post top Luminarie</t>
  </si>
  <si>
    <t xml:space="preserve">Name of Contractor or supplier : </t>
  </si>
  <si>
    <t xml:space="preserve">Name of Work ;- </t>
  </si>
  <si>
    <t>Serial No. of this bill :</t>
  </si>
  <si>
    <t xml:space="preserve">No. and date of the last bill- </t>
  </si>
  <si>
    <t>Not Applicable</t>
  </si>
  <si>
    <t>Reference to work order or Agreement :</t>
  </si>
  <si>
    <t>First &amp; Final Bill</t>
  </si>
  <si>
    <t xml:space="preserve">Name of Work :- </t>
  </si>
  <si>
    <t/>
  </si>
  <si>
    <t>E-01</t>
  </si>
  <si>
    <t>E-02</t>
  </si>
  <si>
    <t>E-03</t>
  </si>
  <si>
    <t>E-04</t>
  </si>
  <si>
    <t>E-05</t>
  </si>
  <si>
    <t>E-06</t>
  </si>
  <si>
    <t>Qty.</t>
  </si>
  <si>
    <t>Particulars</t>
  </si>
  <si>
    <t>Ref. BSR No.</t>
  </si>
  <si>
    <t>EXTRA ITEM SLIP</t>
  </si>
  <si>
    <t xml:space="preserve">Reference to work order or Agreement : </t>
  </si>
  <si>
    <t>Above</t>
  </si>
  <si>
    <t>TENDER PREMIUM %</t>
  </si>
  <si>
    <t>%</t>
  </si>
  <si>
    <t>Total</t>
  </si>
  <si>
    <t xml:space="preserve">Add Tender Premium </t>
  </si>
  <si>
    <t>Grand Total</t>
  </si>
  <si>
    <t>Bill Number</t>
  </si>
  <si>
    <t>First</t>
  </si>
  <si>
    <t xml:space="preserve">Running or Final </t>
  </si>
  <si>
    <t>Amount Paid Vide Last Bill</t>
  </si>
  <si>
    <t>Cash Book Voucher No. and Date</t>
  </si>
  <si>
    <t>unit</t>
  </si>
  <si>
    <t>Final</t>
  </si>
  <si>
    <t>WORK ORDER AMOUNT RS.</t>
  </si>
  <si>
    <t>Premium Type</t>
  </si>
  <si>
    <t>M/s. Shree Krishna Builders Jaipur</t>
  </si>
  <si>
    <t>Plumbing Installation and MTC work at Govt. Nehru hostel Mansarovar, Sanganer, Jaipur</t>
  </si>
  <si>
    <t>0511 Dt. 05-11-2023</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</si>
</sst>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7">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tabSelected="1" workbookViewId="0">
      <selection activeCell="A8" sqref="A8"/>
    </sheetView>
  </sheetViews>
  <sheetFormatPr defaultRowHeight="15"/>
  <cols>
    <col min="1" max="1" width="32" style="36" bestFit="1" customWidth="1"/>
    <col min="2" max="2" width="74.42578125" style="36" bestFit="1" customWidth="1"/>
    <col min="3" max="16384" width="9.140625" style="36"/>
  </cols>
  <sheetData>
    <row r="1" spans="1:2" s="32" customFormat="1" ht="15" customHeight="1">
      <c r="A1" s="32" t="s">
        <v>15</v>
      </c>
    </row>
    <row r="2" spans="1:2" s="32" customFormat="1" ht="15" customHeight="1">
      <c r="A2" s="40" t="s">
        <v>105</v>
      </c>
      <c r="B2" s="40" t="s">
        <v>106</v>
      </c>
    </row>
    <row r="3" spans="1:2" s="32" customFormat="1" ht="15" customHeight="1">
      <c r="A3" s="40" t="s">
        <v>107</v>
      </c>
      <c r="B3" s="40" t="s">
        <v>111</v>
      </c>
    </row>
    <row r="4" spans="1:2" s="32" customFormat="1" ht="15" customHeight="1">
      <c r="A4" s="40" t="s">
        <v>109</v>
      </c>
      <c r="B4" s="40"/>
    </row>
    <row r="5" spans="1:2" s="32" customFormat="1" ht="12">
      <c r="A5" s="33" t="s">
        <v>79</v>
      </c>
      <c r="B5" s="34" t="s">
        <v>114</v>
      </c>
    </row>
    <row r="6" spans="1:2" s="32" customFormat="1" ht="12">
      <c r="A6" s="33" t="s">
        <v>80</v>
      </c>
      <c r="B6" s="34" t="s">
        <v>115</v>
      </c>
    </row>
    <row r="7" spans="1:2" s="32" customFormat="1" ht="12">
      <c r="A7" s="33" t="s">
        <v>81</v>
      </c>
      <c r="B7" s="35" t="s">
        <v>85</v>
      </c>
    </row>
    <row r="8" spans="1:2" s="32" customFormat="1" ht="12">
      <c r="A8" s="33" t="s">
        <v>82</v>
      </c>
      <c r="B8" s="35" t="s">
        <v>83</v>
      </c>
    </row>
    <row r="9" spans="1:2" s="32" customFormat="1" ht="12">
      <c r="A9" s="33" t="s">
        <v>84</v>
      </c>
      <c r="B9" s="35" t="s">
        <v>116</v>
      </c>
    </row>
    <row r="10" spans="1:2" s="32" customFormat="1" ht="12">
      <c r="A10" s="33" t="s">
        <v>69</v>
      </c>
      <c r="B10" s="33" t="s">
        <v>74</v>
      </c>
    </row>
    <row r="11" spans="1:2" s="2" customFormat="1" ht="15" customHeight="1">
      <c r="A11" s="4" t="s">
        <v>112</v>
      </c>
      <c r="B11" s="46">
        <f>'Work Order'!F39</f>
        <v>355874</v>
      </c>
    </row>
    <row r="12" spans="1:2" s="32" customFormat="1" ht="12">
      <c r="A12" s="33" t="s">
        <v>48</v>
      </c>
      <c r="B12" s="37">
        <v>45601</v>
      </c>
    </row>
    <row r="13" spans="1:2" s="32" customFormat="1" ht="15" customHeight="1">
      <c r="A13" s="33" t="s">
        <v>73</v>
      </c>
      <c r="B13" s="38">
        <f>B12+7</f>
        <v>45608</v>
      </c>
    </row>
    <row r="14" spans="1:2" s="32" customFormat="1" ht="15" customHeight="1">
      <c r="A14" s="33" t="s">
        <v>70</v>
      </c>
      <c r="B14" s="38">
        <f>B13+270</f>
        <v>45878</v>
      </c>
    </row>
    <row r="15" spans="1:2" s="32" customFormat="1" ht="12">
      <c r="A15" s="33" t="s">
        <v>71</v>
      </c>
      <c r="B15" s="38">
        <f>B14+5</f>
        <v>45883</v>
      </c>
    </row>
    <row r="16" spans="1:2" s="32" customFormat="1" ht="15" customHeight="1">
      <c r="A16" s="33" t="s">
        <v>72</v>
      </c>
      <c r="B16" s="38">
        <f>B15+32</f>
        <v>45915</v>
      </c>
    </row>
    <row r="17" spans="1:2" s="31" customFormat="1" ht="12">
      <c r="A17" s="31" t="s">
        <v>100</v>
      </c>
      <c r="B17" s="39">
        <v>5.1100000000000003</v>
      </c>
    </row>
    <row r="18" spans="1:2">
      <c r="A18" s="33" t="s">
        <v>113</v>
      </c>
      <c r="B18" s="36" t="s">
        <v>99</v>
      </c>
    </row>
    <row r="19" spans="1:2">
      <c r="A19" s="33" t="s">
        <v>108</v>
      </c>
      <c r="B19" s="41">
        <v>0</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52"/>
  <sheetViews>
    <sheetView topLeftCell="A31" workbookViewId="0">
      <selection activeCell="F39" sqref="F39"/>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22" t="s">
        <v>5</v>
      </c>
      <c r="G1" s="24" t="s">
        <v>68</v>
      </c>
    </row>
    <row r="2" spans="1:7" ht="144">
      <c r="A2" s="8">
        <v>1</v>
      </c>
      <c r="B2" s="9" t="s">
        <v>18</v>
      </c>
      <c r="C2" s="8"/>
      <c r="D2" s="8"/>
      <c r="E2" s="8"/>
      <c r="F2" s="8" t="str">
        <f>IF(ISBLANK(D2),"",ROUND(D2*E2,0))</f>
        <v/>
      </c>
      <c r="G2" s="10">
        <v>1.5</v>
      </c>
    </row>
    <row r="3" spans="1:7">
      <c r="A3" s="8"/>
      <c r="B3" s="9" t="s">
        <v>9</v>
      </c>
      <c r="C3" s="8" t="s">
        <v>13</v>
      </c>
      <c r="D3" s="8">
        <v>50</v>
      </c>
      <c r="E3" s="8">
        <v>256</v>
      </c>
      <c r="F3" s="8">
        <f t="shared" ref="F3:F36" si="0">IF(ISBLANK(D3),"",ROUND(D3*E3,0))</f>
        <v>12800</v>
      </c>
      <c r="G3" s="10" t="s">
        <v>50</v>
      </c>
    </row>
    <row r="4" spans="1:7">
      <c r="A4" s="8"/>
      <c r="B4" s="9" t="s">
        <v>10</v>
      </c>
      <c r="C4" s="8" t="s">
        <v>13</v>
      </c>
      <c r="D4" s="8">
        <v>50</v>
      </c>
      <c r="E4" s="8">
        <v>472</v>
      </c>
      <c r="F4" s="8">
        <f t="shared" si="0"/>
        <v>23600</v>
      </c>
      <c r="G4" s="10" t="s">
        <v>51</v>
      </c>
    </row>
    <row r="5" spans="1:7">
      <c r="A5" s="8"/>
      <c r="B5" s="9" t="s">
        <v>19</v>
      </c>
      <c r="C5" s="8" t="s">
        <v>13</v>
      </c>
      <c r="D5" s="8">
        <v>50</v>
      </c>
      <c r="E5" s="8">
        <v>662</v>
      </c>
      <c r="F5" s="8">
        <f t="shared" si="0"/>
        <v>33100</v>
      </c>
      <c r="G5" s="10" t="s">
        <v>52</v>
      </c>
    </row>
    <row r="6" spans="1:7" ht="144">
      <c r="A6" s="8">
        <v>2</v>
      </c>
      <c r="B6" s="9" t="s">
        <v>20</v>
      </c>
      <c r="C6" s="8"/>
      <c r="D6" s="8"/>
      <c r="E6" s="8"/>
      <c r="F6" s="8" t="str">
        <f t="shared" si="0"/>
        <v/>
      </c>
      <c r="G6" s="10">
        <v>1.7</v>
      </c>
    </row>
    <row r="7" spans="1:7">
      <c r="A7" s="8"/>
      <c r="B7" s="9" t="s">
        <v>11</v>
      </c>
      <c r="C7" s="8" t="s">
        <v>13</v>
      </c>
      <c r="D7" s="8">
        <v>100</v>
      </c>
      <c r="E7" s="8">
        <v>136</v>
      </c>
      <c r="F7" s="8">
        <f t="shared" si="0"/>
        <v>13600</v>
      </c>
      <c r="G7" s="10" t="s">
        <v>53</v>
      </c>
    </row>
    <row r="8" spans="1:7" ht="72">
      <c r="A8" s="8">
        <v>3</v>
      </c>
      <c r="B8" s="9" t="s">
        <v>21</v>
      </c>
      <c r="C8" s="8" t="s">
        <v>6</v>
      </c>
      <c r="D8" s="8">
        <v>10</v>
      </c>
      <c r="E8" s="8">
        <v>23</v>
      </c>
      <c r="F8" s="8">
        <f t="shared" si="0"/>
        <v>230</v>
      </c>
      <c r="G8" s="10">
        <v>7.1</v>
      </c>
    </row>
    <row r="9" spans="1:7" ht="72">
      <c r="A9" s="8">
        <v>4</v>
      </c>
      <c r="B9" s="9" t="s">
        <v>22</v>
      </c>
      <c r="C9" s="8" t="s">
        <v>6</v>
      </c>
      <c r="D9" s="8">
        <v>30</v>
      </c>
      <c r="E9" s="8">
        <v>50</v>
      </c>
      <c r="F9" s="8">
        <f t="shared" si="0"/>
        <v>1500</v>
      </c>
      <c r="G9" s="10">
        <v>7.2</v>
      </c>
    </row>
    <row r="10" spans="1:7" ht="72">
      <c r="A10" s="8">
        <v>5</v>
      </c>
      <c r="B10" s="9" t="s">
        <v>23</v>
      </c>
      <c r="C10" s="8" t="s">
        <v>6</v>
      </c>
      <c r="D10" s="8">
        <v>10</v>
      </c>
      <c r="E10" s="8">
        <v>33</v>
      </c>
      <c r="F10" s="8">
        <f t="shared" si="0"/>
        <v>330</v>
      </c>
      <c r="G10" s="10" t="s">
        <v>54</v>
      </c>
    </row>
    <row r="11" spans="1:7" ht="72">
      <c r="A11" s="8">
        <v>6</v>
      </c>
      <c r="B11" s="9" t="s">
        <v>24</v>
      </c>
      <c r="C11" s="8" t="s">
        <v>6</v>
      </c>
      <c r="D11" s="8">
        <v>10</v>
      </c>
      <c r="E11" s="8">
        <v>78</v>
      </c>
      <c r="F11" s="8">
        <f t="shared" si="0"/>
        <v>780</v>
      </c>
      <c r="G11" s="10">
        <v>7.11</v>
      </c>
    </row>
    <row r="12" spans="1:7" ht="72">
      <c r="A12" s="8">
        <v>7</v>
      </c>
      <c r="B12" s="9" t="s">
        <v>25</v>
      </c>
      <c r="C12" s="8" t="s">
        <v>6</v>
      </c>
      <c r="D12" s="8">
        <v>10</v>
      </c>
      <c r="E12" s="8">
        <v>30</v>
      </c>
      <c r="F12" s="8">
        <f t="shared" si="0"/>
        <v>300</v>
      </c>
      <c r="G12" s="10">
        <v>7.12</v>
      </c>
    </row>
    <row r="13" spans="1:7" ht="72">
      <c r="A13" s="8">
        <v>8</v>
      </c>
      <c r="B13" s="9" t="s">
        <v>26</v>
      </c>
      <c r="C13" s="8" t="s">
        <v>6</v>
      </c>
      <c r="D13" s="8">
        <v>10</v>
      </c>
      <c r="E13" s="8">
        <v>30</v>
      </c>
      <c r="F13" s="8">
        <f t="shared" si="0"/>
        <v>300</v>
      </c>
      <c r="G13" s="10">
        <v>7.13</v>
      </c>
    </row>
    <row r="14" spans="1:7" ht="72">
      <c r="A14" s="8">
        <v>9</v>
      </c>
      <c r="B14" s="9" t="s">
        <v>27</v>
      </c>
      <c r="C14" s="8" t="s">
        <v>6</v>
      </c>
      <c r="D14" s="8">
        <v>33</v>
      </c>
      <c r="E14" s="8">
        <v>219</v>
      </c>
      <c r="F14" s="8">
        <f t="shared" si="0"/>
        <v>7227</v>
      </c>
      <c r="G14" s="10">
        <v>7.21</v>
      </c>
    </row>
    <row r="15" spans="1:7" ht="96">
      <c r="A15" s="8">
        <v>10</v>
      </c>
      <c r="B15" s="9" t="s">
        <v>28</v>
      </c>
      <c r="C15" s="8" t="s">
        <v>6</v>
      </c>
      <c r="D15" s="8">
        <v>44</v>
      </c>
      <c r="E15" s="8">
        <v>303</v>
      </c>
      <c r="F15" s="8">
        <f t="shared" si="0"/>
        <v>13332</v>
      </c>
      <c r="G15" s="10">
        <v>7.36</v>
      </c>
    </row>
    <row r="16" spans="1:7" ht="90" customHeight="1">
      <c r="A16" s="8">
        <v>11</v>
      </c>
      <c r="B16" s="9" t="s">
        <v>29</v>
      </c>
      <c r="C16" s="8"/>
      <c r="D16" s="8"/>
      <c r="E16" s="8"/>
      <c r="F16" s="8" t="str">
        <f t="shared" si="0"/>
        <v/>
      </c>
      <c r="G16" s="10">
        <v>1.4</v>
      </c>
    </row>
    <row r="17" spans="1:7">
      <c r="A17" s="8"/>
      <c r="B17" s="9" t="s">
        <v>8</v>
      </c>
      <c r="C17" s="8" t="s">
        <v>30</v>
      </c>
      <c r="D17" s="8">
        <v>300</v>
      </c>
      <c r="E17" s="8">
        <v>40</v>
      </c>
      <c r="F17" s="8">
        <f t="shared" si="0"/>
        <v>12000</v>
      </c>
      <c r="G17" s="10" t="s">
        <v>55</v>
      </c>
    </row>
    <row r="18" spans="1:7">
      <c r="A18" s="8"/>
      <c r="B18" s="9" t="s">
        <v>12</v>
      </c>
      <c r="C18" s="8" t="s">
        <v>30</v>
      </c>
      <c r="D18" s="8">
        <v>100</v>
      </c>
      <c r="E18" s="8">
        <v>56</v>
      </c>
      <c r="F18" s="8">
        <f t="shared" si="0"/>
        <v>5600</v>
      </c>
      <c r="G18" s="10" t="s">
        <v>56</v>
      </c>
    </row>
    <row r="19" spans="1:7" ht="132">
      <c r="A19" s="8">
        <v>12</v>
      </c>
      <c r="B19" s="9" t="s">
        <v>49</v>
      </c>
      <c r="C19" s="8"/>
      <c r="D19" s="8"/>
      <c r="E19" s="8"/>
      <c r="F19" s="8" t="str">
        <f t="shared" si="0"/>
        <v/>
      </c>
      <c r="G19" s="10">
        <v>4.0999999999999996</v>
      </c>
    </row>
    <row r="20" spans="1:7">
      <c r="A20" s="8"/>
      <c r="B20" s="9" t="s">
        <v>31</v>
      </c>
      <c r="C20" s="8" t="s">
        <v>7</v>
      </c>
      <c r="D20" s="8">
        <v>900</v>
      </c>
      <c r="E20" s="8">
        <v>81</v>
      </c>
      <c r="F20" s="8">
        <f t="shared" si="0"/>
        <v>72900</v>
      </c>
      <c r="G20" s="10" t="s">
        <v>57</v>
      </c>
    </row>
    <row r="21" spans="1:7">
      <c r="A21" s="8"/>
      <c r="B21" s="9" t="s">
        <v>32</v>
      </c>
      <c r="C21" s="8" t="s">
        <v>7</v>
      </c>
      <c r="D21" s="8">
        <v>180</v>
      </c>
      <c r="E21" s="8">
        <v>122</v>
      </c>
      <c r="F21" s="8">
        <f t="shared" si="0"/>
        <v>21960</v>
      </c>
      <c r="G21" s="10" t="s">
        <v>58</v>
      </c>
    </row>
    <row r="22" spans="1:7" ht="144">
      <c r="A22" s="8">
        <v>13</v>
      </c>
      <c r="B22" s="9" t="s">
        <v>33</v>
      </c>
      <c r="C22" s="8" t="s">
        <v>14</v>
      </c>
      <c r="D22" s="8">
        <v>4</v>
      </c>
      <c r="E22" s="8">
        <v>5733</v>
      </c>
      <c r="F22" s="8">
        <f t="shared" si="0"/>
        <v>22932</v>
      </c>
      <c r="G22" s="10">
        <v>14.2</v>
      </c>
    </row>
    <row r="23" spans="1:7" ht="60">
      <c r="A23" s="8">
        <v>14</v>
      </c>
      <c r="B23" s="9" t="s">
        <v>34</v>
      </c>
      <c r="C23" s="8"/>
      <c r="D23" s="8"/>
      <c r="E23" s="8"/>
      <c r="F23" s="8" t="str">
        <f t="shared" si="0"/>
        <v/>
      </c>
      <c r="G23" s="10">
        <v>14.6</v>
      </c>
    </row>
    <row r="24" spans="1:7">
      <c r="A24" s="8"/>
      <c r="B24" s="9" t="s">
        <v>35</v>
      </c>
      <c r="C24" s="8" t="s">
        <v>7</v>
      </c>
      <c r="D24" s="8">
        <v>100</v>
      </c>
      <c r="E24" s="8">
        <v>20</v>
      </c>
      <c r="F24" s="8">
        <f t="shared" si="0"/>
        <v>2000</v>
      </c>
      <c r="G24" s="10" t="s">
        <v>59</v>
      </c>
    </row>
    <row r="25" spans="1:7" ht="108">
      <c r="A25" s="8">
        <v>15</v>
      </c>
      <c r="B25" s="9" t="s">
        <v>36</v>
      </c>
      <c r="C25" s="8"/>
      <c r="D25" s="8"/>
      <c r="E25" s="8"/>
      <c r="F25" s="8" t="str">
        <f t="shared" si="0"/>
        <v/>
      </c>
      <c r="G25" s="10">
        <v>15.7</v>
      </c>
    </row>
    <row r="26" spans="1:7">
      <c r="A26" s="8"/>
      <c r="B26" s="9" t="s">
        <v>37</v>
      </c>
      <c r="C26" s="8" t="s">
        <v>6</v>
      </c>
      <c r="D26" s="8">
        <v>10</v>
      </c>
      <c r="E26" s="8">
        <v>1890</v>
      </c>
      <c r="F26" s="8">
        <f t="shared" si="0"/>
        <v>18900</v>
      </c>
      <c r="G26" s="10" t="s">
        <v>60</v>
      </c>
    </row>
    <row r="27" spans="1:7" ht="168">
      <c r="A27" s="8">
        <v>16</v>
      </c>
      <c r="B27" s="9" t="s">
        <v>38</v>
      </c>
      <c r="C27" s="8"/>
      <c r="D27" s="8"/>
      <c r="E27" s="8"/>
      <c r="F27" s="8" t="str">
        <f t="shared" si="0"/>
        <v/>
      </c>
      <c r="G27" s="10">
        <v>17.100000000000001</v>
      </c>
    </row>
    <row r="28" spans="1:7">
      <c r="A28" s="8"/>
      <c r="B28" s="9" t="s">
        <v>39</v>
      </c>
      <c r="C28" s="8" t="s">
        <v>6</v>
      </c>
      <c r="D28" s="8">
        <v>80</v>
      </c>
      <c r="E28" s="8">
        <v>492</v>
      </c>
      <c r="F28" s="8">
        <f t="shared" si="0"/>
        <v>39360</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50</v>
      </c>
      <c r="E31" s="8">
        <v>187</v>
      </c>
      <c r="F31" s="8">
        <f t="shared" si="0"/>
        <v>9350</v>
      </c>
      <c r="G31" s="10" t="s">
        <v>63</v>
      </c>
    </row>
    <row r="32" spans="1:7">
      <c r="A32" s="8"/>
      <c r="B32" s="9" t="s">
        <v>43</v>
      </c>
      <c r="C32" s="8"/>
      <c r="D32" s="8"/>
      <c r="E32" s="8"/>
      <c r="F32" s="8" t="str">
        <f t="shared" si="0"/>
        <v/>
      </c>
      <c r="G32" s="10" t="s">
        <v>64</v>
      </c>
    </row>
    <row r="33" spans="1:7">
      <c r="A33" s="8"/>
      <c r="B33" s="9" t="s">
        <v>44</v>
      </c>
      <c r="C33" s="8" t="s">
        <v>6</v>
      </c>
      <c r="D33" s="8">
        <v>10</v>
      </c>
      <c r="E33" s="8">
        <v>900</v>
      </c>
      <c r="F33" s="8">
        <f t="shared" si="0"/>
        <v>9000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8</v>
      </c>
      <c r="E36" s="8">
        <v>2184</v>
      </c>
      <c r="F36" s="8">
        <f t="shared" si="0"/>
        <v>17472</v>
      </c>
      <c r="G36" s="10" t="s">
        <v>67</v>
      </c>
    </row>
    <row r="37" spans="1:7" ht="12.75" thickBot="1">
      <c r="B37" s="6" t="s">
        <v>102</v>
      </c>
      <c r="F37" s="5">
        <f>SUM(F2:F36)</f>
        <v>338573</v>
      </c>
      <c r="G37" s="6"/>
    </row>
    <row r="38" spans="1:7" ht="12.75" thickBot="1">
      <c r="B38" s="6" t="s">
        <v>103</v>
      </c>
      <c r="C38" s="30" t="s">
        <v>101</v>
      </c>
      <c r="D38" s="45">
        <f>Title!B17</f>
        <v>5.1100000000000003</v>
      </c>
      <c r="E38" s="44" t="str">
        <f>Title!B18</f>
        <v>Above</v>
      </c>
      <c r="F38" s="5">
        <f>IF(E38 &gt; 0,  IF(E38 = "above", ROUND(F37 * D38 / 100, 0), IF(E38 = "below", -ROUND(F37 * D38 / 100, 0), IF(E38 = 0, 0, 0))))</f>
        <v>17301</v>
      </c>
      <c r="G38" s="6"/>
    </row>
    <row r="39" spans="1:7" ht="12.75" thickBot="1">
      <c r="B39" s="28" t="s">
        <v>104</v>
      </c>
      <c r="C39" s="29"/>
      <c r="D39" s="29"/>
      <c r="E39" s="29"/>
      <c r="F39" s="23">
        <f>F37+F38</f>
        <v>355874</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65"/>
  <sheetViews>
    <sheetView topLeftCell="A28" workbookViewId="0">
      <selection activeCell="F37" sqref="F37"/>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7" t="s">
        <v>5</v>
      </c>
      <c r="G1" s="8" t="s">
        <v>68</v>
      </c>
    </row>
    <row r="2" spans="1:7" ht="144">
      <c r="A2" s="8">
        <v>1</v>
      </c>
      <c r="B2" s="9" t="s">
        <v>18</v>
      </c>
      <c r="C2" s="8"/>
      <c r="D2" s="8"/>
      <c r="E2" s="8"/>
      <c r="F2" s="8" t="str">
        <f>IF(ISBLANK(D2),"",ROUND(D2*E2,0))</f>
        <v/>
      </c>
      <c r="G2" s="10">
        <v>1.5</v>
      </c>
    </row>
    <row r="3" spans="1:7">
      <c r="A3" s="8"/>
      <c r="B3" s="9" t="s">
        <v>9</v>
      </c>
      <c r="C3" s="8" t="s">
        <v>13</v>
      </c>
      <c r="D3" s="8">
        <v>52</v>
      </c>
      <c r="E3" s="8">
        <v>256</v>
      </c>
      <c r="F3" s="8">
        <f t="shared" ref="F3:F36" si="0">IF(ISBLANK(D3),"",ROUND(D3*E3,0))</f>
        <v>13312</v>
      </c>
      <c r="G3" s="10" t="s">
        <v>50</v>
      </c>
    </row>
    <row r="4" spans="1:7">
      <c r="A4" s="8"/>
      <c r="B4" s="9" t="s">
        <v>10</v>
      </c>
      <c r="C4" s="8" t="s">
        <v>13</v>
      </c>
      <c r="D4" s="8">
        <v>48</v>
      </c>
      <c r="E4" s="8">
        <v>472</v>
      </c>
      <c r="F4" s="8">
        <f t="shared" si="0"/>
        <v>22656</v>
      </c>
      <c r="G4" s="10" t="s">
        <v>51</v>
      </c>
    </row>
    <row r="5" spans="1:7">
      <c r="A5" s="8"/>
      <c r="B5" s="9" t="s">
        <v>19</v>
      </c>
      <c r="C5" s="8" t="s">
        <v>13</v>
      </c>
      <c r="D5" s="8">
        <v>52</v>
      </c>
      <c r="E5" s="8">
        <v>662</v>
      </c>
      <c r="F5" s="8">
        <f t="shared" si="0"/>
        <v>34424</v>
      </c>
      <c r="G5" s="10" t="s">
        <v>52</v>
      </c>
    </row>
    <row r="6" spans="1:7" ht="144">
      <c r="A6" s="8">
        <v>2</v>
      </c>
      <c r="B6" s="9" t="s">
        <v>20</v>
      </c>
      <c r="C6" s="8"/>
      <c r="D6" s="8" t="s">
        <v>87</v>
      </c>
      <c r="E6" s="8"/>
      <c r="F6" s="8"/>
      <c r="G6" s="10">
        <v>1.7</v>
      </c>
    </row>
    <row r="7" spans="1:7">
      <c r="A7" s="8"/>
      <c r="B7" s="9" t="s">
        <v>11</v>
      </c>
      <c r="C7" s="8" t="s">
        <v>13</v>
      </c>
      <c r="D7" s="8">
        <v>102</v>
      </c>
      <c r="E7" s="8">
        <v>136</v>
      </c>
      <c r="F7" s="8">
        <f t="shared" si="0"/>
        <v>13872</v>
      </c>
      <c r="G7" s="10" t="s">
        <v>53</v>
      </c>
    </row>
    <row r="8" spans="1:7" ht="72">
      <c r="A8" s="8">
        <v>3</v>
      </c>
      <c r="B8" s="9" t="s">
        <v>21</v>
      </c>
      <c r="C8" s="8" t="s">
        <v>6</v>
      </c>
      <c r="D8" s="8">
        <v>8</v>
      </c>
      <c r="E8" s="8">
        <v>23</v>
      </c>
      <c r="F8" s="8">
        <f t="shared" si="0"/>
        <v>184</v>
      </c>
      <c r="G8" s="10">
        <v>7.1</v>
      </c>
    </row>
    <row r="9" spans="1:7" ht="72">
      <c r="A9" s="8">
        <v>4</v>
      </c>
      <c r="B9" s="9" t="s">
        <v>22</v>
      </c>
      <c r="C9" s="8" t="s">
        <v>6</v>
      </c>
      <c r="D9" s="8">
        <v>32</v>
      </c>
      <c r="E9" s="8">
        <v>50</v>
      </c>
      <c r="F9" s="8">
        <f t="shared" si="0"/>
        <v>1600</v>
      </c>
      <c r="G9" s="10">
        <v>7.2</v>
      </c>
    </row>
    <row r="10" spans="1:7" ht="72">
      <c r="A10" s="8">
        <v>5</v>
      </c>
      <c r="B10" s="9" t="s">
        <v>23</v>
      </c>
      <c r="C10" s="8" t="s">
        <v>6</v>
      </c>
      <c r="D10" s="8">
        <v>22</v>
      </c>
      <c r="E10" s="8">
        <v>33</v>
      </c>
      <c r="F10" s="8">
        <f t="shared" si="0"/>
        <v>726</v>
      </c>
      <c r="G10" s="10" t="s">
        <v>54</v>
      </c>
    </row>
    <row r="11" spans="1:7" ht="72">
      <c r="A11" s="8">
        <v>6</v>
      </c>
      <c r="B11" s="9" t="s">
        <v>24</v>
      </c>
      <c r="C11" s="8" t="s">
        <v>6</v>
      </c>
      <c r="D11" s="8">
        <v>36</v>
      </c>
      <c r="E11" s="8">
        <v>78</v>
      </c>
      <c r="F11" s="8">
        <f t="shared" si="0"/>
        <v>2808</v>
      </c>
      <c r="G11" s="10">
        <v>7.11</v>
      </c>
    </row>
    <row r="12" spans="1:7" ht="72">
      <c r="A12" s="8">
        <v>7</v>
      </c>
      <c r="B12" s="9" t="s">
        <v>25</v>
      </c>
      <c r="C12" s="8" t="s">
        <v>6</v>
      </c>
      <c r="D12" s="8">
        <v>12</v>
      </c>
      <c r="E12" s="8">
        <v>30</v>
      </c>
      <c r="F12" s="8">
        <f t="shared" si="0"/>
        <v>360</v>
      </c>
      <c r="G12" s="10">
        <v>7.12</v>
      </c>
    </row>
    <row r="13" spans="1:7" ht="72">
      <c r="A13" s="8">
        <v>8</v>
      </c>
      <c r="B13" s="9" t="s">
        <v>26</v>
      </c>
      <c r="C13" s="8" t="s">
        <v>6</v>
      </c>
      <c r="D13" s="8">
        <v>8</v>
      </c>
      <c r="E13" s="8">
        <v>30</v>
      </c>
      <c r="F13" s="8">
        <f t="shared" si="0"/>
        <v>240</v>
      </c>
      <c r="G13" s="10">
        <v>7.13</v>
      </c>
    </row>
    <row r="14" spans="1:7" ht="72">
      <c r="A14" s="8">
        <v>9</v>
      </c>
      <c r="B14" s="9" t="s">
        <v>27</v>
      </c>
      <c r="C14" s="8" t="s">
        <v>6</v>
      </c>
      <c r="D14" s="8">
        <v>0</v>
      </c>
      <c r="E14" s="8">
        <v>219</v>
      </c>
      <c r="F14" s="8">
        <f t="shared" si="0"/>
        <v>0</v>
      </c>
      <c r="G14" s="10">
        <v>7.21</v>
      </c>
    </row>
    <row r="15" spans="1:7" ht="96">
      <c r="A15" s="8">
        <v>10</v>
      </c>
      <c r="B15" s="9" t="s">
        <v>28</v>
      </c>
      <c r="C15" s="8" t="s">
        <v>6</v>
      </c>
      <c r="D15" s="8">
        <v>0</v>
      </c>
      <c r="E15" s="8">
        <v>303</v>
      </c>
      <c r="F15" s="8">
        <f t="shared" si="0"/>
        <v>0</v>
      </c>
      <c r="G15" s="10">
        <v>7.36</v>
      </c>
    </row>
    <row r="16" spans="1:7" ht="90" customHeight="1">
      <c r="A16" s="8">
        <v>11</v>
      </c>
      <c r="B16" s="9" t="s">
        <v>29</v>
      </c>
      <c r="C16" s="8"/>
      <c r="D16" s="8"/>
      <c r="E16" s="8"/>
      <c r="F16" s="8" t="str">
        <f t="shared" si="0"/>
        <v/>
      </c>
      <c r="G16" s="10">
        <v>1.4</v>
      </c>
    </row>
    <row r="17" spans="1:7">
      <c r="A17" s="8"/>
      <c r="B17" s="9" t="s">
        <v>8</v>
      </c>
      <c r="C17" s="8" t="s">
        <v>30</v>
      </c>
      <c r="D17" s="8">
        <v>2985</v>
      </c>
      <c r="E17" s="8">
        <v>40</v>
      </c>
      <c r="F17" s="8">
        <f t="shared" si="0"/>
        <v>119400</v>
      </c>
      <c r="G17" s="10" t="s">
        <v>55</v>
      </c>
    </row>
    <row r="18" spans="1:7">
      <c r="A18" s="8"/>
      <c r="B18" s="9" t="s">
        <v>12</v>
      </c>
      <c r="C18" s="8" t="s">
        <v>30</v>
      </c>
      <c r="D18" s="8"/>
      <c r="E18" s="8">
        <v>56</v>
      </c>
      <c r="F18" s="8" t="str">
        <f t="shared" si="0"/>
        <v/>
      </c>
      <c r="G18" s="10" t="s">
        <v>56</v>
      </c>
    </row>
    <row r="19" spans="1:7" ht="132">
      <c r="A19" s="8">
        <v>12</v>
      </c>
      <c r="B19" s="9" t="s">
        <v>49</v>
      </c>
      <c r="C19" s="8"/>
      <c r="D19" s="8"/>
      <c r="E19" s="8"/>
      <c r="F19" s="8" t="str">
        <f t="shared" si="0"/>
        <v/>
      </c>
      <c r="G19" s="10">
        <v>4.0999999999999996</v>
      </c>
    </row>
    <row r="20" spans="1:7">
      <c r="A20" s="8"/>
      <c r="B20" s="9" t="s">
        <v>31</v>
      </c>
      <c r="C20" s="8" t="s">
        <v>7</v>
      </c>
      <c r="D20" s="8">
        <v>92</v>
      </c>
      <c r="E20" s="8">
        <v>81</v>
      </c>
      <c r="F20" s="8">
        <f t="shared" si="0"/>
        <v>7452</v>
      </c>
      <c r="G20" s="10" t="s">
        <v>57</v>
      </c>
    </row>
    <row r="21" spans="1:7">
      <c r="A21" s="8"/>
      <c r="B21" s="9" t="s">
        <v>32</v>
      </c>
      <c r="C21" s="8" t="s">
        <v>7</v>
      </c>
      <c r="D21" s="8">
        <v>12</v>
      </c>
      <c r="E21" s="8">
        <v>122</v>
      </c>
      <c r="F21" s="8">
        <f t="shared" si="0"/>
        <v>1464</v>
      </c>
      <c r="G21" s="10" t="s">
        <v>58</v>
      </c>
    </row>
    <row r="22" spans="1:7" ht="144">
      <c r="A22" s="8">
        <v>13</v>
      </c>
      <c r="B22" s="9" t="s">
        <v>33</v>
      </c>
      <c r="C22" s="8" t="s">
        <v>14</v>
      </c>
      <c r="D22" s="8">
        <v>15</v>
      </c>
      <c r="E22" s="8">
        <v>5733</v>
      </c>
      <c r="F22" s="8">
        <f t="shared" si="0"/>
        <v>85995</v>
      </c>
      <c r="G22" s="10">
        <v>14.2</v>
      </c>
    </row>
    <row r="23" spans="1:7" ht="60">
      <c r="A23" s="8">
        <v>14</v>
      </c>
      <c r="B23" s="9" t="s">
        <v>34</v>
      </c>
      <c r="C23" s="8"/>
      <c r="D23" s="8" t="s">
        <v>87</v>
      </c>
      <c r="E23" s="8"/>
      <c r="F23" s="8"/>
      <c r="G23" s="10">
        <v>14.6</v>
      </c>
    </row>
    <row r="24" spans="1:7">
      <c r="A24" s="8"/>
      <c r="B24" s="9" t="s">
        <v>35</v>
      </c>
      <c r="C24" s="8" t="s">
        <v>7</v>
      </c>
      <c r="D24" s="8">
        <v>35</v>
      </c>
      <c r="E24" s="8">
        <v>20</v>
      </c>
      <c r="F24" s="8">
        <f t="shared" si="0"/>
        <v>700</v>
      </c>
      <c r="G24" s="10" t="s">
        <v>59</v>
      </c>
    </row>
    <row r="25" spans="1:7" ht="108">
      <c r="A25" s="8">
        <v>15</v>
      </c>
      <c r="B25" s="9" t="s">
        <v>36</v>
      </c>
      <c r="C25" s="8"/>
      <c r="D25" s="8" t="s">
        <v>87</v>
      </c>
      <c r="E25" s="8"/>
      <c r="F25" s="8"/>
      <c r="G25" s="10">
        <v>15.7</v>
      </c>
    </row>
    <row r="26" spans="1:7">
      <c r="A26" s="8"/>
      <c r="B26" s="9" t="s">
        <v>37</v>
      </c>
      <c r="C26" s="8" t="s">
        <v>6</v>
      </c>
      <c r="D26" s="8">
        <v>12</v>
      </c>
      <c r="E26" s="8">
        <v>1890</v>
      </c>
      <c r="F26" s="8">
        <f t="shared" si="0"/>
        <v>22680</v>
      </c>
      <c r="G26" s="10" t="s">
        <v>60</v>
      </c>
    </row>
    <row r="27" spans="1:7" ht="168">
      <c r="A27" s="8">
        <v>16</v>
      </c>
      <c r="B27" s="9" t="s">
        <v>38</v>
      </c>
      <c r="C27" s="8"/>
      <c r="D27" s="8" t="s">
        <v>87</v>
      </c>
      <c r="E27" s="8"/>
      <c r="F27" s="8"/>
      <c r="G27" s="10">
        <v>17.100000000000001</v>
      </c>
    </row>
    <row r="28" spans="1:7">
      <c r="A28" s="8"/>
      <c r="B28" s="9" t="s">
        <v>39</v>
      </c>
      <c r="C28" s="8" t="s">
        <v>6</v>
      </c>
      <c r="D28" s="8">
        <v>78</v>
      </c>
      <c r="E28" s="8">
        <v>492</v>
      </c>
      <c r="F28" s="8">
        <f t="shared" si="0"/>
        <v>38376</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88</v>
      </c>
      <c r="E31" s="8">
        <v>187</v>
      </c>
      <c r="F31" s="8">
        <f t="shared" si="0"/>
        <v>16456</v>
      </c>
      <c r="G31" s="10" t="s">
        <v>63</v>
      </c>
    </row>
    <row r="32" spans="1:7">
      <c r="A32" s="8"/>
      <c r="B32" s="9" t="s">
        <v>43</v>
      </c>
      <c r="C32" s="8"/>
      <c r="D32" s="8"/>
      <c r="E32" s="8"/>
      <c r="F32" s="8" t="str">
        <f t="shared" si="0"/>
        <v/>
      </c>
      <c r="G32" s="10" t="s">
        <v>64</v>
      </c>
    </row>
    <row r="33" spans="1:7">
      <c r="A33" s="8"/>
      <c r="B33" s="9" t="s">
        <v>44</v>
      </c>
      <c r="C33" s="8" t="s">
        <v>6</v>
      </c>
      <c r="D33" s="8">
        <v>35</v>
      </c>
      <c r="E33" s="8">
        <v>900</v>
      </c>
      <c r="F33" s="8">
        <f t="shared" si="0"/>
        <v>31500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25</v>
      </c>
      <c r="E36" s="8">
        <v>2184</v>
      </c>
      <c r="F36" s="8">
        <f t="shared" si="0"/>
        <v>54600</v>
      </c>
      <c r="G36" s="10" t="s">
        <v>67</v>
      </c>
    </row>
    <row r="37" spans="1:7" ht="12.75" thickBot="1">
      <c r="B37" s="6" t="s">
        <v>102</v>
      </c>
      <c r="F37" s="5">
        <f>SUM(F2:F36)</f>
        <v>468805</v>
      </c>
      <c r="G37" s="6"/>
    </row>
    <row r="38" spans="1:7" ht="12.75" thickBot="1">
      <c r="B38" s="6" t="s">
        <v>103</v>
      </c>
      <c r="C38" s="30" t="s">
        <v>101</v>
      </c>
      <c r="D38" s="45">
        <f>Title!B17</f>
        <v>5.1100000000000003</v>
      </c>
      <c r="E38" s="44" t="str">
        <f>Title!B18</f>
        <v>Above</v>
      </c>
      <c r="F38" s="5">
        <f>IF(E38 &gt; 0,  IF(E38 = "above", ROUND(F37 * D38 / 100, 0), IF(E38 = "below", -ROUND(F37 * D38 / 100, 0), IF(E38 = 0, 0, 0))))</f>
        <v>23956</v>
      </c>
      <c r="G38" s="6"/>
    </row>
    <row r="39" spans="1:7" ht="12.75" thickBot="1">
      <c r="B39" s="28" t="s">
        <v>104</v>
      </c>
      <c r="C39" s="29"/>
      <c r="D39" s="29"/>
      <c r="E39" s="29"/>
      <c r="F39" s="23">
        <f>F37+F38</f>
        <v>492761</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row r="53" spans="7:7">
      <c r="G53" s="6"/>
    </row>
    <row r="54" spans="7:7">
      <c r="G54" s="6"/>
    </row>
    <row r="55" spans="7:7">
      <c r="G55" s="6"/>
    </row>
    <row r="56" spans="7:7">
      <c r="G56" s="6"/>
    </row>
    <row r="57" spans="7:7">
      <c r="G57" s="6"/>
    </row>
    <row r="58" spans="7:7">
      <c r="G58" s="6"/>
    </row>
    <row r="59" spans="7:7">
      <c r="G59" s="6"/>
    </row>
    <row r="60" spans="7:7">
      <c r="G60" s="6"/>
    </row>
    <row r="61" spans="7:7">
      <c r="G61" s="6"/>
    </row>
    <row r="62" spans="7:7">
      <c r="G62" s="6"/>
    </row>
    <row r="63" spans="7:7">
      <c r="G63" s="6"/>
    </row>
    <row r="64" spans="7:7">
      <c r="G64" s="6"/>
    </row>
    <row r="65" spans="7:7">
      <c r="G65"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workbookViewId="0">
      <selection activeCell="C32" sqref="C32"/>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4" t="s">
        <v>97</v>
      </c>
      <c r="E1" s="11"/>
    </row>
    <row r="2" spans="1:8">
      <c r="A2" s="4" t="s">
        <v>86</v>
      </c>
      <c r="B2" s="4"/>
      <c r="C2" s="42" t="str">
        <f>Title!B6</f>
        <v>Plumbing Installation and MTC work at Govt. Nehru hostel Mansarovar, Sanganer, Jaipur</v>
      </c>
      <c r="D2" s="4"/>
      <c r="E2" s="4"/>
      <c r="F2" s="4"/>
      <c r="G2" s="4"/>
      <c r="H2" s="4"/>
    </row>
    <row r="3" spans="1:8">
      <c r="A3" s="15" t="s">
        <v>79</v>
      </c>
      <c r="B3" s="1"/>
      <c r="C3" s="43" t="str">
        <f>Title!B5</f>
        <v>M/s. Shree Krishna Builders Jaipur</v>
      </c>
    </row>
    <row r="4" spans="1:8">
      <c r="A4" s="2" t="s">
        <v>98</v>
      </c>
      <c r="B4" s="1"/>
      <c r="C4" s="43" t="str">
        <f>Title!B9</f>
        <v>0511 Dt. 05-11-2023</v>
      </c>
    </row>
    <row r="5" spans="1:8" ht="13.5" customHeight="1"/>
    <row r="6" spans="1:8" s="1" customFormat="1" ht="36">
      <c r="A6" s="16" t="s">
        <v>17</v>
      </c>
      <c r="B6" s="16" t="s">
        <v>96</v>
      </c>
      <c r="C6" s="16" t="s">
        <v>95</v>
      </c>
      <c r="D6" s="16" t="s">
        <v>94</v>
      </c>
      <c r="E6" s="16" t="s">
        <v>110</v>
      </c>
      <c r="F6" s="16" t="s">
        <v>4</v>
      </c>
      <c r="G6" s="16" t="s">
        <v>5</v>
      </c>
      <c r="H6" s="16" t="s">
        <v>16</v>
      </c>
    </row>
    <row r="7" spans="1:8">
      <c r="A7" s="17" t="s">
        <v>88</v>
      </c>
      <c r="B7" s="16"/>
      <c r="C7" s="18" t="s">
        <v>78</v>
      </c>
      <c r="D7" s="13">
        <v>2</v>
      </c>
      <c r="E7" s="13" t="s">
        <v>6</v>
      </c>
      <c r="F7" s="19">
        <v>5075</v>
      </c>
      <c r="G7" s="21">
        <f>IF(ISBLANK(D7),"",ROUND(D7*F7,0))</f>
        <v>10150</v>
      </c>
      <c r="H7" s="20"/>
    </row>
    <row r="8" spans="1:8">
      <c r="A8" s="17" t="s">
        <v>89</v>
      </c>
      <c r="B8" s="16"/>
      <c r="C8" s="18" t="s">
        <v>76</v>
      </c>
      <c r="D8" s="13">
        <v>4</v>
      </c>
      <c r="E8" s="13" t="s">
        <v>6</v>
      </c>
      <c r="F8" s="19">
        <v>107</v>
      </c>
      <c r="G8" s="21">
        <f t="shared" ref="G8:G12" si="0">IF(ISBLANK(D8),"",ROUND(D8*F8,0))</f>
        <v>428</v>
      </c>
      <c r="H8" s="20"/>
    </row>
    <row r="9" spans="1:8">
      <c r="A9" s="17" t="s">
        <v>90</v>
      </c>
      <c r="B9" s="16"/>
      <c r="C9" s="18" t="s">
        <v>77</v>
      </c>
      <c r="D9" s="13">
        <v>5</v>
      </c>
      <c r="E9" s="13" t="s">
        <v>6</v>
      </c>
      <c r="F9" s="19">
        <v>176</v>
      </c>
      <c r="G9" s="21">
        <f t="shared" si="0"/>
        <v>880</v>
      </c>
      <c r="H9" s="20"/>
    </row>
    <row r="10" spans="1:8" ht="72">
      <c r="A10" s="17" t="s">
        <v>91</v>
      </c>
      <c r="B10" s="16"/>
      <c r="C10" s="18" t="s">
        <v>75</v>
      </c>
      <c r="D10" s="13">
        <v>5</v>
      </c>
      <c r="E10" s="13" t="s">
        <v>6</v>
      </c>
      <c r="F10" s="19">
        <v>345</v>
      </c>
      <c r="G10" s="21">
        <f t="shared" si="0"/>
        <v>1725</v>
      </c>
      <c r="H10" s="20"/>
    </row>
    <row r="11" spans="1:8">
      <c r="A11" s="17" t="s">
        <v>92</v>
      </c>
      <c r="B11" s="16"/>
      <c r="C11" s="18" t="s">
        <v>76</v>
      </c>
      <c r="D11" s="13">
        <v>4</v>
      </c>
      <c r="E11" s="13" t="s">
        <v>6</v>
      </c>
      <c r="F11" s="19">
        <v>107</v>
      </c>
      <c r="G11" s="21">
        <f t="shared" si="0"/>
        <v>428</v>
      </c>
      <c r="H11" s="20"/>
    </row>
    <row r="12" spans="1:8">
      <c r="A12" s="17" t="s">
        <v>93</v>
      </c>
      <c r="B12" s="16"/>
      <c r="C12" s="18" t="s">
        <v>77</v>
      </c>
      <c r="D12" s="13">
        <v>5</v>
      </c>
      <c r="E12" s="13" t="s">
        <v>6</v>
      </c>
      <c r="F12" s="19">
        <v>176</v>
      </c>
      <c r="G12" s="21">
        <f t="shared" si="0"/>
        <v>880</v>
      </c>
      <c r="H12" s="20"/>
    </row>
    <row r="13" spans="1:8" ht="12.75" thickBot="1">
      <c r="A13" s="25"/>
      <c r="B13" s="26"/>
      <c r="C13" s="6" t="s">
        <v>102</v>
      </c>
      <c r="D13" s="5"/>
      <c r="E13" s="5"/>
      <c r="F13" s="5"/>
      <c r="G13" s="5">
        <f>SUM(G7:G12)</f>
        <v>14491</v>
      </c>
      <c r="H13" s="27"/>
    </row>
    <row r="14" spans="1:8" ht="12.75" thickBot="1">
      <c r="A14" s="12"/>
      <c r="B14" s="1"/>
      <c r="C14" s="6" t="s">
        <v>103</v>
      </c>
      <c r="D14" s="30" t="s">
        <v>101</v>
      </c>
      <c r="E14" s="45">
        <f>Title!B17</f>
        <v>5.1100000000000003</v>
      </c>
      <c r="F14" s="44" t="str">
        <f>Title!B18</f>
        <v>Above</v>
      </c>
      <c r="G14" s="5">
        <f>IF(F14 &gt; 0,  IF(F14 = "above", ROUND(G13 * E14 / 100, 0), IF(F14 = "below", -ROUND(G13 * E14 / 100, 0), IF(F14 = 0, 0, 0))))</f>
        <v>740</v>
      </c>
    </row>
    <row r="15" spans="1:8" ht="12.75" thickBot="1">
      <c r="A15" s="12"/>
      <c r="B15" s="1"/>
      <c r="C15" s="28" t="s">
        <v>104</v>
      </c>
      <c r="D15" s="29"/>
      <c r="E15" s="29"/>
      <c r="F15" s="29"/>
      <c r="G15" s="23">
        <f>G13+G14</f>
        <v>15231</v>
      </c>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A56" s="12"/>
      <c r="B56" s="3"/>
      <c r="C56" s="3"/>
    </row>
    <row r="57" spans="1:3">
      <c r="A57" s="12"/>
      <c r="B57" s="3"/>
      <c r="C57" s="3"/>
    </row>
    <row r="58" spans="1:3">
      <c r="A58" s="12"/>
      <c r="B58" s="3"/>
      <c r="C58" s="3"/>
    </row>
    <row r="59" spans="1:3">
      <c r="A59" s="12"/>
      <c r="B59" s="3"/>
      <c r="C59" s="3"/>
    </row>
    <row r="60" spans="1:3">
      <c r="A60" s="12"/>
      <c r="B60" s="3"/>
      <c r="C60" s="3"/>
    </row>
    <row r="61" spans="1:3">
      <c r="A61" s="12"/>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2026-02-22T04:24:54Z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