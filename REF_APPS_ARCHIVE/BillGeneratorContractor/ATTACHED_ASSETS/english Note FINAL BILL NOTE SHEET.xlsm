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ALL PWD\"/>
    </mc:Choice>
  </mc:AlternateContent>
  <bookViews>
    <workbookView xWindow="-105" yWindow="-105" windowWidth="23250" windowHeight="12570"/>
  </bookViews>
  <sheets>
    <sheet name="Final" sheetId="1" r:id="rId1"/>
    <sheet name="Running" sheetId="2" r:id="rId2"/>
  </sheets>
  <definedNames>
    <definedName name="_xlnm.Print_Area" localSheetId="0">Final!$A$1:$D$40</definedName>
    <definedName name="_xlnm.Print_Area" localSheetId="1">Running!$A$1:$D$38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2" l="1"/>
  <c r="D37" i="2" s="1"/>
  <c r="C20" i="2"/>
  <c r="D34" i="2" l="1"/>
  <c r="D31" i="2"/>
  <c r="D32" i="2"/>
  <c r="D33" i="2"/>
  <c r="C21" i="1"/>
  <c r="D39" i="1" s="1"/>
  <c r="C20" i="1"/>
  <c r="D36" i="2" l="1"/>
  <c r="D33" i="1"/>
  <c r="D34" i="1"/>
  <c r="D35" i="1"/>
  <c r="D36" i="1"/>
  <c r="D38" i="1" l="1"/>
</calcChain>
</file>

<file path=xl/sharedStrings.xml><?xml version="1.0" encoding="utf-8"?>
<sst xmlns="http://schemas.openxmlformats.org/spreadsheetml/2006/main" count="109" uniqueCount="56">
  <si>
    <t>S.No.</t>
  </si>
  <si>
    <t>Description</t>
  </si>
  <si>
    <t>Details</t>
  </si>
  <si>
    <t>Chargeable Head</t>
  </si>
  <si>
    <t>Agreement No.</t>
  </si>
  <si>
    <t>Adm. Section</t>
  </si>
  <si>
    <t>Tech. Section</t>
  </si>
  <si>
    <t>M.B No.</t>
  </si>
  <si>
    <t>Name of Sub Dn</t>
  </si>
  <si>
    <t>Name of Work</t>
  </si>
  <si>
    <t>Name of Firm</t>
  </si>
  <si>
    <t>Original/Deposit</t>
  </si>
  <si>
    <t>Deposit</t>
  </si>
  <si>
    <t>Date of Commencement</t>
  </si>
  <si>
    <t>Date of Completion</t>
  </si>
  <si>
    <t>Actual Date of Completion</t>
  </si>
  <si>
    <t>In case of delay weather, Provisional Extension Granted</t>
  </si>
  <si>
    <t>Whether any notice issued</t>
  </si>
  <si>
    <t>Prorata Progress on the Work maintained by the Firm</t>
  </si>
  <si>
    <t>Date on Which record Measurement taken by JEN AC</t>
  </si>
  <si>
    <t>Date of Checking and % on the Checked By AEN</t>
  </si>
  <si>
    <t>S.D.II</t>
  </si>
  <si>
    <t>L.T</t>
  </si>
  <si>
    <t>GST</t>
  </si>
  <si>
    <t>L.C</t>
  </si>
  <si>
    <t>Cheque</t>
  </si>
  <si>
    <t>Total</t>
  </si>
  <si>
    <t>FINAL BILL SCRUTINY SHEET</t>
  </si>
  <si>
    <t>No. Of selection item checked by the EE</t>
  </si>
  <si>
    <t>-------------------</t>
  </si>
  <si>
    <t>Rajsamand</t>
  </si>
  <si>
    <t>Net Amount of This Bill Rs.</t>
  </si>
  <si>
    <t>Actual Expenditure up to this Bill Rs.</t>
  </si>
  <si>
    <t>Balance to be done Rs.</t>
  </si>
  <si>
    <t>Amount of Work Order Rs.</t>
  </si>
  <si>
    <t>Deductions:-</t>
  </si>
  <si>
    <t>8443-00-108-00-00</t>
  </si>
  <si>
    <t>I and FINAL BILL Agreement No. 80/2023-24</t>
  </si>
  <si>
    <t>E/F Work in District Lab (NABL) at Rajsamand</t>
  </si>
  <si>
    <t>M/s. Arun ElectricalS,  PalI</t>
  </si>
  <si>
    <t>887/Pg. No. 04-20</t>
  </si>
  <si>
    <t>Liquidated Damages (Recovery)</t>
  </si>
  <si>
    <t>Other Inputs</t>
  </si>
  <si>
    <t>Yes</t>
  </si>
  <si>
    <t>Amount of Extra Items Rs.</t>
  </si>
  <si>
    <t>(C) Any Excess Item</t>
  </si>
  <si>
    <t>(B) Extra Item</t>
  </si>
  <si>
    <t>(A) Is It a Repair / Maintenance Work</t>
  </si>
  <si>
    <t>(D) Any Inadvertent Delay in Bill Submission</t>
  </si>
  <si>
    <t>NO</t>
  </si>
  <si>
    <t>See Note Below.</t>
  </si>
  <si>
    <t xml:space="preserve">1. The work has been completed 71.31% of the Work Order Amount._x000D_
2. The execution of work at final stage is less than 90% of the Work Order Amount, the Requisite Deviation Statement is enclosed to observe check on unuseful expenditure. Approval of the Deviation is having jurisdiction under this office._x000D_
3. Work was completed in time._x000D_
4. The amount of Extra items is Rs.  4 which is  3.28    % of the Work Order Amount; under 5%, approval of the same is to be granted by this office._x000D_
5. The details of the items wherein EXCESS QUANTITY has been executed during the work completion are attached. There is a saving in the work of the tune of 28.69.%;  (i.e., Overall Excess = NIL, just excess quantity items are recorded), the approval of which falls under the jurisdiction of this office._x000D_
6. Quality Control (QC) test reports attached._x000D_
7. The Bill is submitted very late; explanation from concerned Assistant Engineer may be sought._x000D_
8. Please peruse above details for necessary decision-making._x000D_
 _x000D_
           Premlata Jain_x000D_
           AAO- As Auditor_x000D_
</t>
  </si>
  <si>
    <t>I Running BILL Agreement No. 80/2023-24</t>
  </si>
  <si>
    <t>RUNNING BILL SCRUTINY SHEET</t>
  </si>
  <si>
    <t>(A) Extra Item</t>
  </si>
  <si>
    <t>(B) Any Excess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</si>
</sst>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sz val="12"/>
      <color theme="1"/>
      <name val="Bahnschrift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/>
    <xf numFmtId="0" fontId="3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right" vertical="top" wrapText="1"/>
    </xf>
    <xf numFmtId="9" fontId="3" fillId="0" borderId="1" xfId="0" applyNumberFormat="1" applyFont="1" applyBorder="1"/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1" xfId="0" applyFont="1" applyBorder="1" applyAlignment="1">
      <alignment horizontal="right" vertical="top" wrapText="1"/>
    </xf>
    <xf numFmtId="0" fontId="3" fillId="0" borderId="1" xfId="0" quotePrefix="1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0" borderId="2" xfId="0" quotePrefix="1" applyFont="1" applyBorder="1" applyAlignment="1">
      <alignment horizontal="left" vertical="top" wrapText="1"/>
    </xf>
    <xf numFmtId="0" fontId="3" fillId="0" borderId="3" xfId="0" quotePrefix="1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14" fontId="3" fillId="0" borderId="1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37</xdr:row>
          <xdr:rowOff>285750</xdr:rowOff>
        </xdr:from>
        <xdr:to>
          <xdr:col>5</xdr:col>
          <xdr:colOff>19050</xdr:colOff>
          <xdr:row>38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38</xdr:row>
          <xdr:rowOff>209550</xdr:rowOff>
        </xdr:from>
        <xdr:to>
          <xdr:col>7</xdr:col>
          <xdr:colOff>304800</xdr:colOff>
          <xdr:row>39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35</xdr:row>
          <xdr:rowOff>285750</xdr:rowOff>
        </xdr:from>
        <xdr:to>
          <xdr:col>5</xdr:col>
          <xdr:colOff>19050</xdr:colOff>
          <xdr:row>36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276225</xdr:rowOff>
        </xdr:from>
        <xdr:to>
          <xdr:col>7</xdr:col>
          <xdr:colOff>161925</xdr:colOff>
          <xdr:row>36</xdr:row>
          <xdr:rowOff>200025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40"/>
  <sheetViews>
    <sheetView tabSelected="1" view="pageBreakPreview" topLeftCell="A35" zoomScaleNormal="100" zoomScaleSheetLayoutView="100" workbookViewId="0">
      <selection activeCell="H40" sqref="H40"/>
    </sheetView>
  </sheetViews>
  <sheetFormatPr defaultColWidth="9.140625" defaultRowHeight="24.95" customHeight="1" x14ac:dyDescent="0.25"/>
  <cols>
    <col min="1" max="1" width="5.85546875" style="10" bestFit="1" customWidth="1"/>
    <col min="2" max="2" width="50" style="11" customWidth="1"/>
    <col min="3" max="3" width="11.28515625" style="1" customWidth="1"/>
    <col min="4" max="4" width="61.85546875" style="11" customWidth="1"/>
    <col min="5" max="16384" width="9.140625" style="1"/>
  </cols>
  <sheetData>
    <row r="1" spans="1:4" ht="24.95" customHeight="1" x14ac:dyDescent="0.25">
      <c r="A1" s="22" t="s">
        <v>27</v>
      </c>
      <c r="B1" s="22"/>
      <c r="C1" s="22"/>
      <c r="D1" s="22"/>
    </row>
    <row r="2" spans="1:4" ht="24.95" customHeight="1" x14ac:dyDescent="0.25">
      <c r="A2" s="22" t="s">
        <v>37</v>
      </c>
      <c r="B2" s="22"/>
      <c r="C2" s="22"/>
      <c r="D2" s="22"/>
    </row>
    <row r="3" spans="1:4" ht="24.95" customHeight="1" x14ac:dyDescent="0.25">
      <c r="A3" s="2" t="s">
        <v>0</v>
      </c>
      <c r="B3" s="3" t="s">
        <v>1</v>
      </c>
      <c r="C3" s="25" t="s">
        <v>2</v>
      </c>
      <c r="D3" s="25"/>
    </row>
    <row r="4" spans="1:4" ht="24.95" customHeight="1" x14ac:dyDescent="0.25">
      <c r="A4" s="4">
        <v>1</v>
      </c>
      <c r="B4" s="5" t="s">
        <v>3</v>
      </c>
      <c r="C4" s="20" t="s">
        <v>36</v>
      </c>
      <c r="D4" s="20"/>
    </row>
    <row r="5" spans="1:4" ht="24.95" customHeight="1" x14ac:dyDescent="0.25">
      <c r="A5" s="4">
        <v>2</v>
      </c>
      <c r="B5" s="5" t="s">
        <v>4</v>
      </c>
      <c r="C5" s="20">
        <v>8</v>
      </c>
      <c r="D5" s="20"/>
    </row>
    <row r="6" spans="1:4" ht="24.95" customHeight="1" x14ac:dyDescent="0.25">
      <c r="A6" s="4">
        <v>3</v>
      </c>
      <c r="B6" s="5" t="s">
        <v>5</v>
      </c>
      <c r="C6" s="20"/>
      <c r="D6" s="20"/>
    </row>
    <row r="7" spans="1:4" ht="24.95" customHeight="1" x14ac:dyDescent="0.25">
      <c r="A7" s="4">
        <v>4</v>
      </c>
      <c r="B7" s="5" t="s">
        <v>6</v>
      </c>
      <c r="C7" s="20"/>
      <c r="D7" s="20"/>
    </row>
    <row r="8" spans="1:4" ht="24.95" customHeight="1" x14ac:dyDescent="0.25">
      <c r="A8" s="4">
        <v>5</v>
      </c>
      <c r="B8" s="5" t="s">
        <v>7</v>
      </c>
      <c r="C8" s="20" t="s">
        <v>40</v>
      </c>
      <c r="D8" s="20"/>
    </row>
    <row r="9" spans="1:4" ht="24.95" customHeight="1" x14ac:dyDescent="0.25">
      <c r="A9" s="4">
        <v>6</v>
      </c>
      <c r="B9" s="5" t="s">
        <v>8</v>
      </c>
      <c r="C9" s="20" t="s">
        <v>30</v>
      </c>
      <c r="D9" s="20"/>
    </row>
    <row r="10" spans="1:4" ht="30.75" customHeight="1" x14ac:dyDescent="0.25">
      <c r="A10" s="4">
        <v>7</v>
      </c>
      <c r="B10" s="5" t="s">
        <v>9</v>
      </c>
      <c r="C10" s="20" t="s">
        <v>38</v>
      </c>
      <c r="D10" s="20"/>
    </row>
    <row r="11" spans="1:4" ht="24.95" customHeight="1" x14ac:dyDescent="0.25">
      <c r="A11" s="4">
        <v>8</v>
      </c>
      <c r="B11" s="5" t="s">
        <v>10</v>
      </c>
      <c r="C11" s="20" t="s">
        <v>39</v>
      </c>
      <c r="D11" s="20"/>
    </row>
    <row r="12" spans="1:4" ht="24.95" customHeight="1" x14ac:dyDescent="0.25">
      <c r="A12" s="4">
        <v>9</v>
      </c>
      <c r="B12" s="5" t="s">
        <v>11</v>
      </c>
      <c r="C12" s="20" t="s">
        <v>12</v>
      </c>
      <c r="D12" s="20"/>
    </row>
    <row r="13" spans="1:4" ht="24.95" customHeight="1" x14ac:dyDescent="0.25">
      <c r="A13" s="4">
        <v>11</v>
      </c>
      <c r="B13" s="5" t="s">
        <v>13</v>
      </c>
      <c r="C13" s="21">
        <v>45217</v>
      </c>
      <c r="D13" s="20"/>
    </row>
    <row r="14" spans="1:4" ht="24.95" customHeight="1" x14ac:dyDescent="0.25">
      <c r="A14" s="4">
        <v>12</v>
      </c>
      <c r="B14" s="5" t="s">
        <v>14</v>
      </c>
      <c r="C14" s="21">
        <v>45521</v>
      </c>
      <c r="D14" s="20"/>
    </row>
    <row r="15" spans="1:4" ht="24.95" customHeight="1" x14ac:dyDescent="0.25">
      <c r="A15" s="4">
        <v>13</v>
      </c>
      <c r="B15" s="5" t="s">
        <v>15</v>
      </c>
      <c r="C15" s="21">
        <v>45520</v>
      </c>
      <c r="D15" s="20"/>
    </row>
    <row r="16" spans="1:4" ht="30" x14ac:dyDescent="0.25">
      <c r="A16" s="4">
        <v>14</v>
      </c>
      <c r="B16" s="5" t="s">
        <v>16</v>
      </c>
      <c r="C16" s="20" t="s">
        <v>50</v>
      </c>
      <c r="D16" s="20"/>
    </row>
    <row r="17" spans="1:4" ht="24.95" customHeight="1" x14ac:dyDescent="0.25">
      <c r="A17" s="4">
        <v>15</v>
      </c>
      <c r="B17" s="5" t="s">
        <v>17</v>
      </c>
      <c r="C17" s="19" t="s">
        <v>29</v>
      </c>
      <c r="D17" s="19"/>
    </row>
    <row r="18" spans="1:4" ht="24.95" customHeight="1" x14ac:dyDescent="0.25">
      <c r="A18" s="4">
        <v>16</v>
      </c>
      <c r="B18" s="5" t="s">
        <v>34</v>
      </c>
      <c r="C18" s="20">
        <v>122</v>
      </c>
      <c r="D18" s="20"/>
    </row>
    <row r="19" spans="1:4" ht="24.95" customHeight="1" x14ac:dyDescent="0.25">
      <c r="A19" s="4">
        <v>17</v>
      </c>
      <c r="B19" s="5" t="s">
        <v>32</v>
      </c>
      <c r="C19" s="20">
        <v>87</v>
      </c>
      <c r="D19" s="20"/>
    </row>
    <row r="20" spans="1:4" ht="24.95" customHeight="1" x14ac:dyDescent="0.25">
      <c r="A20" s="4">
        <v>18</v>
      </c>
      <c r="B20" s="5" t="s">
        <v>33</v>
      </c>
      <c r="C20" s="24">
        <f>C18-C19</f>
        <v>35</v>
      </c>
      <c r="D20" s="24"/>
    </row>
    <row r="21" spans="1:4" ht="24.95" customHeight="1" x14ac:dyDescent="0.25">
      <c r="A21" s="4"/>
      <c r="B21" s="8" t="s">
        <v>31</v>
      </c>
      <c r="C21" s="20">
        <f>C19</f>
        <v>87</v>
      </c>
      <c r="D21" s="20"/>
    </row>
    <row r="22" spans="1:4" ht="41.25" customHeight="1" x14ac:dyDescent="0.25">
      <c r="A22" s="4">
        <v>19</v>
      </c>
      <c r="B22" s="5" t="s">
        <v>18</v>
      </c>
      <c r="C22" s="20" t="s">
        <v>50</v>
      </c>
      <c r="D22" s="20"/>
    </row>
    <row r="23" spans="1:4" ht="39" customHeight="1" x14ac:dyDescent="0.25">
      <c r="A23" s="4">
        <v>20</v>
      </c>
      <c r="B23" s="5" t="s">
        <v>19</v>
      </c>
      <c r="C23" s="20"/>
      <c r="D23" s="20"/>
    </row>
    <row r="24" spans="1:4" ht="38.25" customHeight="1" x14ac:dyDescent="0.25">
      <c r="A24" s="4">
        <v>21</v>
      </c>
      <c r="B24" s="5" t="s">
        <v>20</v>
      </c>
      <c r="C24" s="20"/>
      <c r="D24" s="20"/>
    </row>
    <row r="25" spans="1:4" ht="24.95" customHeight="1" x14ac:dyDescent="0.25">
      <c r="A25" s="4">
        <v>22</v>
      </c>
      <c r="B25" s="5" t="s">
        <v>28</v>
      </c>
      <c r="C25" s="19" t="s">
        <v>29</v>
      </c>
      <c r="D25" s="19"/>
    </row>
    <row r="26" spans="1:4" ht="24.95" customHeight="1" x14ac:dyDescent="0.25">
      <c r="A26" s="4">
        <v>23</v>
      </c>
      <c r="B26" s="5" t="s">
        <v>42</v>
      </c>
      <c r="C26" s="19" t="s">
        <v>29</v>
      </c>
      <c r="D26" s="19"/>
    </row>
    <row r="27" spans="1:4" ht="24.95" customHeight="1" x14ac:dyDescent="0.25">
      <c r="A27" s="4"/>
      <c r="B27" s="5" t="s">
        <v>47</v>
      </c>
      <c r="C27" s="17" t="s">
        <v>49</v>
      </c>
      <c r="D27" s="18"/>
    </row>
    <row r="28" spans="1:4" ht="24.95" customHeight="1" x14ac:dyDescent="0.25">
      <c r="A28" s="4"/>
      <c r="B28" s="5" t="s">
        <v>46</v>
      </c>
      <c r="C28" s="17" t="s">
        <v>43</v>
      </c>
      <c r="D28" s="18"/>
    </row>
    <row r="29" spans="1:4" ht="24.95" customHeight="1" x14ac:dyDescent="0.25">
      <c r="A29" s="4"/>
      <c r="B29" s="12" t="s">
        <v>44</v>
      </c>
      <c r="C29" s="17">
        <v>4</v>
      </c>
      <c r="D29" s="18"/>
    </row>
    <row r="30" spans="1:4" ht="24.95" customHeight="1" x14ac:dyDescent="0.25">
      <c r="A30" s="4"/>
      <c r="B30" s="13" t="s">
        <v>45</v>
      </c>
      <c r="C30" s="17" t="s">
        <v>43</v>
      </c>
      <c r="D30" s="18"/>
    </row>
    <row r="31" spans="1:4" ht="24.95" customHeight="1" x14ac:dyDescent="0.25">
      <c r="A31" s="4"/>
      <c r="B31" s="13" t="s">
        <v>48</v>
      </c>
      <c r="C31" s="17" t="s">
        <v>43</v>
      </c>
      <c r="D31" s="18"/>
    </row>
    <row r="32" spans="1:4" ht="24.95" customHeight="1" x14ac:dyDescent="0.25">
      <c r="A32" s="4"/>
      <c r="B32" s="8" t="s">
        <v>35</v>
      </c>
      <c r="C32" s="23"/>
      <c r="D32" s="23"/>
    </row>
    <row r="33" spans="1:4" ht="24.95" customHeight="1" x14ac:dyDescent="0.25">
      <c r="A33" s="4"/>
      <c r="B33" s="12" t="s">
        <v>21</v>
      </c>
      <c r="C33" s="9">
        <v>0.1</v>
      </c>
      <c r="D33" s="15">
        <f>ROUNDUP(C21*0.1,0)</f>
        <v>9</v>
      </c>
    </row>
    <row r="34" spans="1:4" ht="24.95" customHeight="1" x14ac:dyDescent="0.25">
      <c r="A34" s="4"/>
      <c r="B34" s="12" t="s">
        <v>22</v>
      </c>
      <c r="C34" s="9">
        <v>0.02</v>
      </c>
      <c r="D34" s="15">
        <f>ROUNDUP($C$21*0.02,0)</f>
        <v>2</v>
      </c>
    </row>
    <row r="35" spans="1:4" ht="24.95" customHeight="1" x14ac:dyDescent="0.25">
      <c r="A35" s="4"/>
      <c r="B35" s="12" t="s">
        <v>23</v>
      </c>
      <c r="C35" s="9">
        <v>0.02</v>
      </c>
      <c r="D35" s="15">
        <f>ROUNDUP($C$21*0.02,0)</f>
        <v>2</v>
      </c>
    </row>
    <row r="36" spans="1:4" ht="24.95" customHeight="1" x14ac:dyDescent="0.25">
      <c r="A36" s="4"/>
      <c r="B36" s="12" t="s">
        <v>24</v>
      </c>
      <c r="C36" s="9">
        <v>0.01</v>
      </c>
      <c r="D36" s="15">
        <f>ROUNDUP($C$21*0.01,0)</f>
        <v>1</v>
      </c>
    </row>
    <row r="37" spans="1:4" ht="24.95" customHeight="1" x14ac:dyDescent="0.25">
      <c r="A37" s="4"/>
      <c r="B37" s="12" t="s">
        <v>41</v>
      </c>
      <c r="C37" s="6"/>
      <c r="D37" s="7">
        <v>0</v>
      </c>
    </row>
    <row r="38" spans="1:4" ht="24.95" customHeight="1" x14ac:dyDescent="0.25">
      <c r="A38" s="4"/>
      <c r="B38" s="12" t="s">
        <v>25</v>
      </c>
      <c r="C38" s="6"/>
      <c r="D38" s="15">
        <f>C21-D33-D34-D35-D36-D37</f>
        <v>73</v>
      </c>
    </row>
    <row r="39" spans="1:4" ht="24.95" customHeight="1" x14ac:dyDescent="0.25">
      <c r="A39" s="4"/>
      <c r="B39" s="12" t="s">
        <v>26</v>
      </c>
      <c r="C39" s="6"/>
      <c r="D39" s="15">
        <f>C21</f>
        <v>87</v>
      </c>
    </row>
    <row r="40" spans="1:4" ht="246" customHeight="1" x14ac:dyDescent="0.25">
      <c r="B40" s="26" t="s">
        <v>51</v>
      </c>
      <c r="C40" s="26"/>
      <c r="D40" s="26"/>
    </row>
  </sheetData>
  <mergeCells count="33">
    <mergeCell ref="A1:D1"/>
    <mergeCell ref="A2:D2"/>
    <mergeCell ref="C17:D17"/>
    <mergeCell ref="C26:D26"/>
    <mergeCell ref="C32:D32"/>
    <mergeCell ref="C19:D19"/>
    <mergeCell ref="C20:D20"/>
    <mergeCell ref="C21:D21"/>
    <mergeCell ref="C22:D22"/>
    <mergeCell ref="C23:D23"/>
    <mergeCell ref="C24:D24"/>
    <mergeCell ref="C3:D3"/>
    <mergeCell ref="C4:D4"/>
    <mergeCell ref="C5:D5"/>
    <mergeCell ref="C6:D6"/>
    <mergeCell ref="C18:D18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31:D31"/>
    <mergeCell ref="C25:D25"/>
    <mergeCell ref="C30:D30"/>
    <mergeCell ref="C27:D27"/>
    <mergeCell ref="C28:D28"/>
    <mergeCell ref="C29:D29"/>
    <mergeCell ref="B40:D40"/>
  </mergeCells>
  <printOptions horizontalCentered="1"/>
  <pageMargins left="0" right="0" top="0" bottom="0" header="0" footer="0"/>
  <pageSetup paperSize="9"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llNotesOnly">
                <anchor moveWithCells="1" sizeWithCells="1">
                  <from>
                    <xdr:col>4</xdr:col>
                    <xdr:colOff>28575</xdr:colOff>
                    <xdr:row>37</xdr:row>
                    <xdr:rowOff>285750</xdr:rowOff>
                  </from>
                  <to>
                    <xdr:col>5</xdr:col>
                    <xdr:colOff>19050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nal.PrintFinalBillSheet">
                <anchor moveWithCells="1">
                  <from>
                    <xdr:col>6</xdr:col>
                    <xdr:colOff>371475</xdr:colOff>
                    <xdr:row>38</xdr:row>
                    <xdr:rowOff>209550</xdr:rowOff>
                  </from>
                  <to>
                    <xdr:col>7</xdr:col>
                    <xdr:colOff>304800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38"/>
  <sheetViews>
    <sheetView view="pageBreakPreview" topLeftCell="A31" zoomScaleNormal="100" zoomScaleSheetLayoutView="100" workbookViewId="0">
      <selection activeCell="H41" sqref="H41"/>
    </sheetView>
  </sheetViews>
  <sheetFormatPr defaultColWidth="9.140625" defaultRowHeight="24.95" customHeight="1" x14ac:dyDescent="0.25"/>
  <cols>
    <col min="1" max="1" width="5.85546875" style="10" bestFit="1" customWidth="1"/>
    <col min="2" max="2" width="50" style="11" customWidth="1"/>
    <col min="3" max="3" width="11.28515625" style="1" customWidth="1"/>
    <col min="4" max="4" width="61.85546875" style="11" customWidth="1"/>
    <col min="5" max="16384" width="9.140625" style="1"/>
  </cols>
  <sheetData>
    <row r="1" spans="1:4" ht="24.95" customHeight="1" x14ac:dyDescent="0.25">
      <c r="A1" s="22" t="s">
        <v>53</v>
      </c>
      <c r="B1" s="22"/>
      <c r="C1" s="22"/>
      <c r="D1" s="22"/>
    </row>
    <row r="2" spans="1:4" ht="24.95" customHeight="1" x14ac:dyDescent="0.25">
      <c r="A2" s="22" t="s">
        <v>52</v>
      </c>
      <c r="B2" s="22"/>
      <c r="C2" s="22"/>
      <c r="D2" s="22"/>
    </row>
    <row r="3" spans="1:4" ht="24.95" customHeight="1" x14ac:dyDescent="0.25">
      <c r="A3" s="2" t="s">
        <v>0</v>
      </c>
      <c r="B3" s="3" t="s">
        <v>1</v>
      </c>
      <c r="C3" s="25" t="s">
        <v>2</v>
      </c>
      <c r="D3" s="25"/>
    </row>
    <row r="4" spans="1:4" ht="24.95" customHeight="1" x14ac:dyDescent="0.25">
      <c r="A4" s="4">
        <v>1</v>
      </c>
      <c r="B4" s="5" t="s">
        <v>3</v>
      </c>
      <c r="C4" s="20" t="s">
        <v>36</v>
      </c>
      <c r="D4" s="20"/>
    </row>
    <row r="5" spans="1:4" ht="24.95" customHeight="1" x14ac:dyDescent="0.25">
      <c r="A5" s="4">
        <v>2</v>
      </c>
      <c r="B5" s="5" t="s">
        <v>4</v>
      </c>
      <c r="C5" s="20">
        <v>8</v>
      </c>
      <c r="D5" s="20"/>
    </row>
    <row r="6" spans="1:4" ht="24.95" customHeight="1" x14ac:dyDescent="0.25">
      <c r="A6" s="4">
        <v>3</v>
      </c>
      <c r="B6" s="5" t="s">
        <v>5</v>
      </c>
      <c r="C6" s="20"/>
      <c r="D6" s="20"/>
    </row>
    <row r="7" spans="1:4" ht="24.95" customHeight="1" x14ac:dyDescent="0.25">
      <c r="A7" s="4">
        <v>4</v>
      </c>
      <c r="B7" s="5" t="s">
        <v>6</v>
      </c>
      <c r="C7" s="20"/>
      <c r="D7" s="20"/>
    </row>
    <row r="8" spans="1:4" ht="24.95" customHeight="1" x14ac:dyDescent="0.25">
      <c r="A8" s="4">
        <v>5</v>
      </c>
      <c r="B8" s="5" t="s">
        <v>7</v>
      </c>
      <c r="C8" s="20" t="s">
        <v>40</v>
      </c>
      <c r="D8" s="20"/>
    </row>
    <row r="9" spans="1:4" ht="24.95" customHeight="1" x14ac:dyDescent="0.25">
      <c r="A9" s="4">
        <v>6</v>
      </c>
      <c r="B9" s="5" t="s">
        <v>8</v>
      </c>
      <c r="C9" s="20" t="s">
        <v>30</v>
      </c>
      <c r="D9" s="20"/>
    </row>
    <row r="10" spans="1:4" ht="30.75" customHeight="1" x14ac:dyDescent="0.25">
      <c r="A10" s="4">
        <v>7</v>
      </c>
      <c r="B10" s="5" t="s">
        <v>9</v>
      </c>
      <c r="C10" s="20" t="s">
        <v>38</v>
      </c>
      <c r="D10" s="20"/>
    </row>
    <row r="11" spans="1:4" ht="24.95" customHeight="1" x14ac:dyDescent="0.25">
      <c r="A11" s="4">
        <v>8</v>
      </c>
      <c r="B11" s="5" t="s">
        <v>10</v>
      </c>
      <c r="C11" s="20" t="s">
        <v>39</v>
      </c>
      <c r="D11" s="20"/>
    </row>
    <row r="12" spans="1:4" ht="24.95" customHeight="1" x14ac:dyDescent="0.25">
      <c r="A12" s="4">
        <v>9</v>
      </c>
      <c r="B12" s="5" t="s">
        <v>11</v>
      </c>
      <c r="C12" s="20" t="s">
        <v>12</v>
      </c>
      <c r="D12" s="20"/>
    </row>
    <row r="13" spans="1:4" ht="24.95" customHeight="1" x14ac:dyDescent="0.25">
      <c r="A13" s="4">
        <v>11</v>
      </c>
      <c r="B13" s="5" t="s">
        <v>13</v>
      </c>
      <c r="C13" s="21">
        <v>45217</v>
      </c>
      <c r="D13" s="20"/>
    </row>
    <row r="14" spans="1:4" ht="24.95" customHeight="1" x14ac:dyDescent="0.25">
      <c r="A14" s="4">
        <v>12</v>
      </c>
      <c r="B14" s="5" t="s">
        <v>14</v>
      </c>
      <c r="C14" s="21">
        <v>45521</v>
      </c>
      <c r="D14" s="20"/>
    </row>
    <row r="15" spans="1:4" ht="24.95" customHeight="1" x14ac:dyDescent="0.25">
      <c r="A15" s="4">
        <v>13</v>
      </c>
      <c r="B15" s="5" t="s">
        <v>15</v>
      </c>
      <c r="C15" s="21">
        <v>45520</v>
      </c>
      <c r="D15" s="20"/>
    </row>
    <row r="16" spans="1:4" ht="30" x14ac:dyDescent="0.25">
      <c r="A16" s="4">
        <v>14</v>
      </c>
      <c r="B16" s="5" t="s">
        <v>16</v>
      </c>
      <c r="C16" s="20" t="s">
        <v>50</v>
      </c>
      <c r="D16" s="20"/>
    </row>
    <row r="17" spans="1:4" ht="24.95" customHeight="1" x14ac:dyDescent="0.25">
      <c r="A17" s="4">
        <v>15</v>
      </c>
      <c r="B17" s="5" t="s">
        <v>17</v>
      </c>
      <c r="C17" s="19" t="s">
        <v>29</v>
      </c>
      <c r="D17" s="19"/>
    </row>
    <row r="18" spans="1:4" ht="24.95" customHeight="1" x14ac:dyDescent="0.25">
      <c r="A18" s="4">
        <v>16</v>
      </c>
      <c r="B18" s="5" t="s">
        <v>34</v>
      </c>
      <c r="C18" s="20">
        <v>122</v>
      </c>
      <c r="D18" s="20"/>
    </row>
    <row r="19" spans="1:4" ht="24.95" customHeight="1" x14ac:dyDescent="0.25">
      <c r="A19" s="4">
        <v>17</v>
      </c>
      <c r="B19" s="5" t="s">
        <v>32</v>
      </c>
      <c r="C19" s="20">
        <v>87</v>
      </c>
      <c r="D19" s="20"/>
    </row>
    <row r="20" spans="1:4" ht="24.95" customHeight="1" x14ac:dyDescent="0.25">
      <c r="A20" s="4">
        <v>18</v>
      </c>
      <c r="B20" s="5" t="s">
        <v>33</v>
      </c>
      <c r="C20" s="24">
        <f>C18-C19</f>
        <v>35</v>
      </c>
      <c r="D20" s="24"/>
    </row>
    <row r="21" spans="1:4" ht="24.95" customHeight="1" x14ac:dyDescent="0.25">
      <c r="A21" s="4"/>
      <c r="B21" s="8" t="s">
        <v>31</v>
      </c>
      <c r="C21" s="20">
        <f>C19</f>
        <v>87</v>
      </c>
      <c r="D21" s="20"/>
    </row>
    <row r="22" spans="1:4" ht="41.25" customHeight="1" x14ac:dyDescent="0.25">
      <c r="A22" s="4">
        <v>19</v>
      </c>
      <c r="B22" s="5" t="s">
        <v>18</v>
      </c>
      <c r="C22" s="20" t="s">
        <v>50</v>
      </c>
      <c r="D22" s="20"/>
    </row>
    <row r="23" spans="1:4" ht="39" customHeight="1" x14ac:dyDescent="0.25">
      <c r="A23" s="4">
        <v>20</v>
      </c>
      <c r="B23" s="5" t="s">
        <v>19</v>
      </c>
      <c r="C23" s="20"/>
      <c r="D23" s="20"/>
    </row>
    <row r="24" spans="1:4" ht="38.25" customHeight="1" x14ac:dyDescent="0.25">
      <c r="A24" s="4">
        <v>21</v>
      </c>
      <c r="B24" s="5" t="s">
        <v>20</v>
      </c>
      <c r="C24" s="20"/>
      <c r="D24" s="20"/>
    </row>
    <row r="25" spans="1:4" ht="24.95" customHeight="1" x14ac:dyDescent="0.25">
      <c r="A25" s="4">
        <v>22</v>
      </c>
      <c r="B25" s="5" t="s">
        <v>28</v>
      </c>
      <c r="C25" s="19" t="s">
        <v>29</v>
      </c>
      <c r="D25" s="19"/>
    </row>
    <row r="26" spans="1:4" ht="24.95" customHeight="1" x14ac:dyDescent="0.25">
      <c r="A26" s="4">
        <v>23</v>
      </c>
      <c r="B26" s="5" t="s">
        <v>42</v>
      </c>
      <c r="C26" s="19" t="s">
        <v>29</v>
      </c>
      <c r="D26" s="19"/>
    </row>
    <row r="27" spans="1:4" ht="24.95" customHeight="1" x14ac:dyDescent="0.25">
      <c r="A27" s="4"/>
      <c r="B27" s="5" t="s">
        <v>54</v>
      </c>
      <c r="C27" s="17" t="s">
        <v>43</v>
      </c>
      <c r="D27" s="18"/>
    </row>
    <row r="28" spans="1:4" ht="24.95" customHeight="1" x14ac:dyDescent="0.25">
      <c r="A28" s="4"/>
      <c r="B28" s="12" t="s">
        <v>44</v>
      </c>
      <c r="C28" s="17">
        <v>12</v>
      </c>
      <c r="D28" s="18"/>
    </row>
    <row r="29" spans="1:4" ht="24.95" customHeight="1" x14ac:dyDescent="0.25">
      <c r="A29" s="4"/>
      <c r="B29" s="13" t="s">
        <v>55</v>
      </c>
      <c r="C29" s="17" t="s">
        <v>43</v>
      </c>
      <c r="D29" s="18"/>
    </row>
    <row r="30" spans="1:4" ht="24.95" customHeight="1" x14ac:dyDescent="0.25">
      <c r="A30" s="4"/>
      <c r="B30" s="8" t="s">
        <v>35</v>
      </c>
      <c r="C30" s="23"/>
      <c r="D30" s="23"/>
    </row>
    <row r="31" spans="1:4" ht="24.95" customHeight="1" x14ac:dyDescent="0.25">
      <c r="A31" s="4"/>
      <c r="B31" s="12" t="s">
        <v>21</v>
      </c>
      <c r="C31" s="9">
        <v>0.1</v>
      </c>
      <c r="D31" s="16">
        <f>ROUNDUP(C21*0.1,0)</f>
        <v>9</v>
      </c>
    </row>
    <row r="32" spans="1:4" ht="24.95" customHeight="1" x14ac:dyDescent="0.25">
      <c r="A32" s="4"/>
      <c r="B32" s="12" t="s">
        <v>22</v>
      </c>
      <c r="C32" s="9">
        <v>0.02</v>
      </c>
      <c r="D32" s="16">
        <f>ROUNDUP($C$21*0.02,0)</f>
        <v>2</v>
      </c>
    </row>
    <row r="33" spans="1:4" ht="24.95" customHeight="1" x14ac:dyDescent="0.25">
      <c r="A33" s="4"/>
      <c r="B33" s="12" t="s">
        <v>23</v>
      </c>
      <c r="C33" s="9">
        <v>0.02</v>
      </c>
      <c r="D33" s="16">
        <f>ROUNDUP($C$21*0.02,0)</f>
        <v>2</v>
      </c>
    </row>
    <row r="34" spans="1:4" ht="24.95" customHeight="1" x14ac:dyDescent="0.25">
      <c r="A34" s="4"/>
      <c r="B34" s="12" t="s">
        <v>24</v>
      </c>
      <c r="C34" s="9">
        <v>0.01</v>
      </c>
      <c r="D34" s="16">
        <f>ROUNDUP($C$21*0.01,0)</f>
        <v>1</v>
      </c>
    </row>
    <row r="35" spans="1:4" ht="24.95" customHeight="1" x14ac:dyDescent="0.25">
      <c r="A35" s="4"/>
      <c r="B35" s="12" t="s">
        <v>41</v>
      </c>
      <c r="C35" s="6"/>
      <c r="D35" s="14">
        <v>0</v>
      </c>
    </row>
    <row r="36" spans="1:4" ht="24.95" customHeight="1" x14ac:dyDescent="0.25">
      <c r="A36" s="4"/>
      <c r="B36" s="12" t="s">
        <v>25</v>
      </c>
      <c r="C36" s="6"/>
      <c r="D36" s="16">
        <f>C21-D31-D32-D33-D34-D35</f>
        <v>73</v>
      </c>
    </row>
    <row r="37" spans="1:4" ht="24.95" customHeight="1" x14ac:dyDescent="0.25">
      <c r="A37" s="4"/>
      <c r="B37" s="12" t="s">
        <v>26</v>
      </c>
      <c r="C37" s="6"/>
      <c r="D37" s="16">
        <f>C21</f>
        <v>87</v>
      </c>
    </row>
    <row r="38" spans="1:4" ht="151.5" customHeight="1" x14ac:dyDescent="0.25">
      <c r="B38" s="26"/>
      <c r="C38" s="26"/>
      <c r="D38" s="26"/>
    </row>
  </sheetData>
  <mergeCells count="31">
    <mergeCell ref="C30:D30"/>
    <mergeCell ref="B38:D38"/>
    <mergeCell ref="C25:D25"/>
    <mergeCell ref="C26:D26"/>
    <mergeCell ref="C27:D27"/>
    <mergeCell ref="C28:D28"/>
    <mergeCell ref="C29:D29"/>
    <mergeCell ref="C19:D19"/>
    <mergeCell ref="C20:D20"/>
    <mergeCell ref="C21:D21"/>
    <mergeCell ref="C22:D22"/>
    <mergeCell ref="C23:D23"/>
    <mergeCell ref="C24:D24"/>
    <mergeCell ref="C13:D13"/>
    <mergeCell ref="C14:D14"/>
    <mergeCell ref="C15:D15"/>
    <mergeCell ref="C16:D16"/>
    <mergeCell ref="C17:D17"/>
    <mergeCell ref="C18:D18"/>
    <mergeCell ref="C7:D7"/>
    <mergeCell ref="C8:D8"/>
    <mergeCell ref="C9:D9"/>
    <mergeCell ref="C10:D10"/>
    <mergeCell ref="C11:D11"/>
    <mergeCell ref="C12:D12"/>
    <mergeCell ref="A1:D1"/>
    <mergeCell ref="A2:D2"/>
    <mergeCell ref="C3:D3"/>
    <mergeCell ref="C4:D4"/>
    <mergeCell ref="C5:D5"/>
    <mergeCell ref="C6:D6"/>
  </mergeCells>
  <printOptions horizontalCentered="1"/>
  <pageMargins left="0" right="0" top="0" bottom="0" header="0" footer="0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al.GenerateBillNotesOnly">
                <anchor moveWithCells="1" sizeWithCells="1">
                  <from>
                    <xdr:col>4</xdr:col>
                    <xdr:colOff>28575</xdr:colOff>
                    <xdr:row>35</xdr:row>
                    <xdr:rowOff>285750</xdr:rowOff>
                  </from>
                  <to>
                    <xdr:col>5</xdr:col>
                    <xdr:colOff>19050</xdr:colOff>
                    <xdr:row>36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7.PrintRunningSheet">
                <anchor moveWithCells="1">
                  <from>
                    <xdr:col>6</xdr:col>
                    <xdr:colOff>228600</xdr:colOff>
                    <xdr:row>35</xdr:row>
                    <xdr:rowOff>276225</xdr:rowOff>
                  </from>
                  <to>
                    <xdr:col>7</xdr:col>
                    <xdr:colOff>161925</xdr:colOff>
                    <xdr:row>36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2E4EE-AB4B-4E7D-9721-A0379D5E94E9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</vt:lpstr>
      <vt:lpstr>Running</vt:lpstr>
      <vt:lpstr>Final!Print_Area</vt:lpstr>
      <vt:lpstr>Running!Print_Area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Singh Chauhan</dc:creator>
  <cp:lastModifiedBy>Rajkumar</cp:lastModifiedBy>
  <cp:lastPrinted>2025-05-31T15:42:43Z</cp:lastPrinted>
  <dcterms:created xsi:type="dcterms:W3CDTF">2025-02-24T06:05:45Z</dcterms:created>
  <dcterms:modified xsi:type="dcterms:W3CDTF">2025-05-31T16:14:37Z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{0B62E4EE-AB4B-4E7D-9721-A0379D5E94E9}</vt:lpwstr>
  </property>
</Properties>
</file>