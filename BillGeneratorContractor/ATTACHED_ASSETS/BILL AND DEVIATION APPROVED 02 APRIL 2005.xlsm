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codeName="ThisWorkbook"/>
  <mc:AlternateContent xmlns:mc="http://schemas.openxmlformats.org/markup-compatibility/2006">
    <mc:Choice Requires="x15">
      <x15ac:absPath xmlns:x15ac="http://schemas.microsoft.com/office/spreadsheetml/2010/11/ac" url="C:\Users\Rajkumar\BillGeneratorUnified\ATTACHED_ASSETS\"/>
    </mc:Choice>
  </mc:AlternateContent>
  <bookViews>
    <workbookView minimized="1" xWindow="-120" yWindow="-120" windowWidth="29040" windowHeight="15720" tabRatio="615" firstSheet="6" activeTab="6"/>
  </bookViews>
  <sheets>
    <sheet name="Work Order" sheetId="19" r:id="rId1"/>
    <sheet name="BILL QUANTITY" sheetId="22" r:id="rId2"/>
    <sheet name="First Page" sheetId="14" r:id="rId3"/>
    <sheet name="EXTRA ITEMS" sheetId="12" r:id="rId4"/>
    <sheet name="Deviation Statement" sheetId="20" r:id="rId5"/>
    <sheet name="NOTE SHEET" sheetId="18" r:id="rId6"/>
    <sheet name="CERTIFICATE III" sheetId="23" r:id="rId7"/>
  </sheets>
  <functionGroups builtInGroupCount="18"/>
  <definedNames>
    <definedName name="payable_amount">'First Page'!#REF!</definedName>
    <definedName name="_xlnm.Print_Area" localSheetId="1">'BILL QUANTITY'!$A$1:$G$58</definedName>
    <definedName name="_xlnm.Print_Area" localSheetId="4">'Deviation Statement'!$A$1:$M$10</definedName>
    <definedName name="_xlnm.Print_Area" localSheetId="3">'EXTRA ITEMS'!$A$1:$H$6</definedName>
    <definedName name="_xlnm.Print_Area" localSheetId="2">'First Page'!$A$1:$J$1</definedName>
    <definedName name="_xlnm.Print_Area" localSheetId="5">'NOTE SHEET'!$A$1:$D$41</definedName>
    <definedName name="_xlnm.Print_Titles" localSheetId="4">'Deviation Statement'!$10:$51</definedName>
    <definedName name="_xlnm.Print_Titles" localSheetId="3">'EXTRA ITEMS'!$6:$46</definedName>
    <definedName name="_xlnm.Print_Titles" localSheetId="2">'First Page'!$20:$21</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2" i="23" l="1"/>
  <c r="G71" i="14" l="1"/>
  <c r="G3" i="23" l="1"/>
  <c r="G8" i="23" s="1"/>
  <c r="G11" i="23" s="1"/>
  <c r="F58" i="22"/>
  <c r="F18" i="12"/>
  <c r="D18" i="12"/>
  <c r="C18" i="18"/>
  <c r="C15" i="18"/>
  <c r="C14" i="18"/>
  <c r="C13" i="18"/>
  <c r="C11" i="18"/>
  <c r="C10" i="18"/>
  <c r="C5" i="18"/>
  <c r="A2" i="18"/>
  <c r="C4" i="20"/>
  <c r="B4" i="20"/>
  <c r="C9" i="20"/>
  <c r="C6" i="20"/>
  <c r="E19" i="23" l="1"/>
  <c r="E17" i="23"/>
  <c r="E18" i="23" s="1"/>
  <c r="E16" i="23"/>
  <c r="F56" i="22"/>
  <c r="F55" i="22"/>
  <c r="F54" i="22"/>
  <c r="F53" i="22"/>
  <c r="F52" i="22"/>
  <c r="F51" i="22"/>
  <c r="F50" i="22"/>
  <c r="F49" i="22"/>
  <c r="F48" i="22"/>
  <c r="F47" i="22"/>
  <c r="F46" i="22"/>
  <c r="F45" i="22"/>
  <c r="F44" i="22"/>
  <c r="F42" i="22"/>
  <c r="F41" i="22"/>
  <c r="F40" i="22"/>
  <c r="F39" i="22"/>
  <c r="F38" i="22"/>
  <c r="F37" i="22"/>
  <c r="F36" i="22"/>
  <c r="F35" i="22"/>
  <c r="F34" i="22"/>
  <c r="F33" i="22"/>
  <c r="F32" i="22"/>
  <c r="F31" i="22"/>
  <c r="F30" i="22"/>
  <c r="F29" i="22"/>
  <c r="F28" i="22"/>
  <c r="F27" i="22"/>
  <c r="F26" i="22"/>
  <c r="F25" i="22"/>
  <c r="F24" i="22"/>
  <c r="F23" i="22"/>
  <c r="F22" i="22"/>
  <c r="E21" i="23" l="1"/>
  <c r="E24" i="23" s="1"/>
  <c r="C28" i="23" s="1"/>
  <c r="F56" i="19"/>
  <c r="F55" i="19"/>
  <c r="F54" i="19"/>
  <c r="F53" i="19"/>
  <c r="F52" i="19"/>
  <c r="F51" i="19"/>
  <c r="F50" i="19"/>
  <c r="F49" i="19"/>
  <c r="F48" i="19"/>
  <c r="F47" i="19"/>
  <c r="F46" i="19"/>
  <c r="F45" i="19"/>
  <c r="F44" i="19"/>
  <c r="F43" i="19"/>
  <c r="F42" i="19"/>
  <c r="F41" i="19"/>
  <c r="F40" i="19"/>
  <c r="F39" i="19"/>
  <c r="F38" i="19"/>
  <c r="F37" i="19"/>
  <c r="F36" i="19"/>
  <c r="F35" i="19"/>
  <c r="F34" i="19"/>
  <c r="F33" i="19"/>
  <c r="F32" i="19"/>
  <c r="F31" i="19"/>
  <c r="F30" i="19"/>
  <c r="F29" i="19"/>
  <c r="F28" i="19"/>
  <c r="F27" i="19"/>
  <c r="F26" i="19"/>
  <c r="F25" i="19"/>
  <c r="F24" i="19"/>
  <c r="F23" i="19"/>
  <c r="F22" i="19"/>
  <c r="G14" i="12"/>
  <c r="G13" i="12"/>
  <c r="G12" i="12"/>
  <c r="G15" i="12"/>
  <c r="G11" i="12"/>
  <c r="G10" i="12"/>
  <c r="G9" i="12"/>
  <c r="G8" i="12"/>
  <c r="G7" i="12"/>
  <c r="C19" i="18"/>
  <c r="C22" i="18" s="1"/>
  <c r="C29" i="23" a="1"/>
  <c r="C29" i="23" l="1"/>
  <c r="G17" i="12"/>
  <c r="G18" i="12" s="1"/>
  <c r="G19" i="12" s="1"/>
  <c r="C21" i="18"/>
  <c r="D39" i="18" s="1"/>
  <c r="C20" i="18"/>
  <c r="D34" i="18" l="1"/>
  <c r="D33" i="18"/>
  <c r="D36" i="18"/>
  <c r="D35" i="18"/>
  <c r="D38" i="18"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<sst xmlns="http://schemas.openxmlformats.org/spreadsheetml/2006/main" count="619" uniqueCount="228">
  <si>
    <t>Item</t>
  </si>
  <si>
    <t>Description</t>
  </si>
  <si>
    <t>Unit</t>
  </si>
  <si>
    <t>Quantity</t>
  </si>
  <si>
    <t>Rate</t>
  </si>
  <si>
    <t>Amount</t>
  </si>
  <si>
    <t>Each</t>
  </si>
  <si>
    <t>Mtr.</t>
  </si>
  <si>
    <t>20 mm</t>
  </si>
  <si>
    <t>Short point (up to 3 mtr.)</t>
  </si>
  <si>
    <t>Medium point (up to 6 mtr.)</t>
  </si>
  <si>
    <t>On board</t>
  </si>
  <si>
    <t>25 mm</t>
  </si>
  <si>
    <t>P. point</t>
  </si>
  <si>
    <t>Set</t>
  </si>
  <si>
    <t>FOR CONTRACTORS &amp; SUPPLIERS ONLY FOR PAYMENT FOR WORK OR SUPPLIES ACTUALLY MEASURED</t>
  </si>
  <si>
    <t>Cash Book Voucher No.</t>
  </si>
  <si>
    <t>Remarks</t>
  </si>
  <si>
    <t>S.No.</t>
  </si>
  <si>
    <t>WORK ORDER</t>
  </si>
  <si>
    <t>Rewiring of light point/ fan point/ exhaust fan point/ call bell point with 1.5 sq. mm nominal size FR PVC insulated unsheathed flexible copper conductor 1.1 kV grade  and 1.5 sq. mm nominal size FR PVC insulated unsheathed flexible copper earth conductor 1.1 kV grade (IS:694) in recessed  ISI marked MMS ( IS:9537 P - III ) virgin material PVC conduit &amp; it's ISI marked (IS:3419-1988) accessories, round tiles, 1.2 mm thick MS box with earth terminal, 6 A switch, 3 pin ceiling rose/holder / 3 way connector , 3.0 mm thick ISI marked (IS:2036-1995) phenolic laminated sheet, Al.alloy / Cadmium plated iron/  brass  screws, cup washers, making connections, testing etc. as required. For specification of copper  Conductor,  Phenolic Laminated sheet's &amp; Electrical/ Wiring accessories refer Chapter E - 04, E - 05 &amp; E - 07 For additional technical parameters of product / work refer Annexure 'A' attached with this BSR</t>
  </si>
  <si>
    <t>Long point  (up to 10 mtr.)</t>
  </si>
  <si>
    <t>Rewiring of 3/5 pin 6 amp. Light plug point with 1.5 sq. mm nominal size  FR PVC insulated unsheathed flexible copper conductor 1.1 kV grade  and 1.5 sq. mm nominal size FR PVC insulated unsheathed flexible copper earth conductor 1.1 kV grade(IS:694)   in recessed ISI marked MMS ( IS:9537 P - III ) virgin material  PVC conduit &amp; it's  ISI marked (IS:3419-1988) accessories, 1.2 mm thick  MS box with earth terminal of required size,  6 A  switch, 3/5 pin 6 A socket, 3.0 mm thick ISI marked (IS:2036-1995) phenolic laminated sheet, Al.alloy / Cadmium plated iron/ brass  screws, cup washers, making connections, testing etc. as required.  For specification of copper  Conductor,  Phenolic Laminated sheet's &amp; Electrical/ Wiring accessories refer Chapter E - 04, E - 05 &amp; E - 07 For additional technical parameters of product / work refer Annexure 'A' attached with this BSR</t>
  </si>
  <si>
    <t>P &amp; F ISI marked (IS:3854) 6 amp. flush type non modular switch  with CM/L no. printed and made out from industrial grade Polycarbonate or fire resistant ABS material including cutting hole in tile and making connection testing etc. as required. All as per pre approved by Engineer in charge.  For additional technical parameters of products/ work  , refer   Annexure "A" attached with this BSR .</t>
  </si>
  <si>
    <t>P &amp; F ISI marked (IS :3854) 16 amp. flush type non modular switch CM/L no. printed and made out from industrial grade Polycarbonate or fire resistant ABS material including cutting hole in tile and making connection testing etc. as required. All as per pre approved by Engineer in charge.  For additional technical parameters of products/ work  , refer   Annexure "A" attached with this BSR .</t>
  </si>
  <si>
    <t>Providing &amp; Fixing of  of 3/5 pin 6 amp. flush type  non modular socket  made out from industrial grade Polycarbonate or fire resistant ABS material, brass terminal with Porcelain based back cover &amp; captive screws including cutting hole in tile and making connection testing etc. as required.All as per pre approved by Engineer in charge.  For additional technical parameters of products/ work  , refer   Annexure "A" attached with this BSR .</t>
  </si>
  <si>
    <t>Providing &amp; Fixing of  3/6 pin 16 amp flush type non modular socket  made out from Industrial grade Polycarbonate or fire resistant ABS material, brass terminal with Porcelain based back cover &amp; captive screws including cutting hole in tile and making connection testing etc. as required.All as per pre approved by Engineer in charge.  For additional technical parameters of products/ work  , refer   Annexure "A" attached with this BSR .</t>
  </si>
  <si>
    <t>Providing &amp; Fixing of  ISI marked (IS:371) 6 amp surface type 3 pin ceiling rose with CM/L no. printed and made out from industrial grade Polycarbonate or fire resistant ABS material, brass terminal &amp; captive screws including making connection testing etc. as required.All as per pre approved by Engineer in charge.  For additional technical parameters of products/ work  , refer   Annexure "A" attached with this BSR .</t>
  </si>
  <si>
    <t>Providing &amp; Fixing of ISI marked (IS:1258) batten/angle lamp  holder with CM/L no. printed and made out from industrial grade Polycarbonate or fire resistant ABS material, brass terminal &amp; captive screwsincluding making connection testing etc. as required.  All as per pre approved by Engineer in charge.  For additional technical parameters of products/ work  , refer   Annexure "A" attached with this BSR .</t>
  </si>
  <si>
    <t>Providing &amp; Fixing of IS 11037:1984  marked  non modular socket size flush type 180 watt rotary minimum 5 step fan regulator with CM/L no. printed and made out from industrial grade Polycarbonate or fire resistant ABS material including making connection testing etc. as required.All as per pre approved by Engineer in charge.  For additional technical parameters of products/ work  , refer   Annexure "A" attached with this BSR .</t>
  </si>
  <si>
    <t>Providing and fixing of   power plug point with non modular accessories as per PWD specification for electrical Works with  Galvanized   box of 1.2 mm thick  with earth terminal with suitable size phenolic laminated sheet (IS : 2036 -  1995) cover including cost of 16 amp. Switch (IS :3854) and 3/6 pin 16 amp. socket outlet  making connection , testing , etc. as required. . For specification of  Wiring accessories refer Chapter  E - 07 related item &amp;  For additional technical parameters of product / work refer Annexure 'A' attached with this BSR</t>
  </si>
  <si>
    <t>S&amp;F following sizes (dia.) of ISI marked virgin material MMS ( IS:9537 P - III ) PVC conduit along with  ISI marked (IS:3419-1988) accessories as required  in  recess  including  cutting the wall, covering conduit and making good the same as required. For additional technical parameters of product / work refer Annexure 'A' attached with this BSR</t>
  </si>
  <si>
    <t>R. mtr.</t>
  </si>
  <si>
    <t>2 x 2.5 sq. mm. + 1x1.5sqmm</t>
  </si>
  <si>
    <t>2 x 4.0 sq. mm. + 1 x 2.5 sq. mm.</t>
  </si>
  <si>
    <t xml:space="preserve">Plate Earthing  as per IS:3043 with Hot dipped G.I. Earth plate of size 600mm x 600mm x 6.0mm by embodying  3 to 4 mtr. below the ground level with 20  mm dia. G.I. 'B' class watering Pipe ,including all accessories like nut, bolts, reducer, nipple, wire meshed funnel, and Heavy duty weather proof poly-propylene earth pit chamber with lockable Jam free lid suitable for safe working load 5000 Kg or more of size Top Dia. 225 to 260 mm, Bottom Dia 300 to 350 mm. and Height  250 to 300 mm. and embodying the pipe  complete with alternate layers salt and coke/ charcoal, testing of earth resistance for value of 5 ohms or less  as required &amp; must record by engineer in charge during site visit and ensure to enter in measurment book.All as per pre approved by Engineer in charge.  For additional technical parameters of products/ work  , refer   Annexure "A" attached with this BSR .   </t>
  </si>
  <si>
    <t xml:space="preserve">Supply &amp; Laying following size earth wire in horizontal or vertical run in ground/surface/recess including riveting, soldering, saddles,  making connection with GI/Cu purity purity &gt;95%  thimble etc. as required.  All as per pre approved by Engineer in charge.  For additional technical parameters of products/ work  , refer   Annexure "A" attached with this BSR .   </t>
  </si>
  <si>
    <t xml:space="preserve">8 SWG G.I. ( Hot Dipped  ) Wire </t>
  </si>
  <si>
    <t>Providing &amp; Fixing of  BEE  Star rated copper wounded double ball bearing capacitor start, aluminium body &amp; Metallic  blade ceiling  fan  Conforming to all the performance requirements laid down in IS 374:2019 including all amendments, as applicable ; &amp; Carry BIS licensing (i.e. ISI marking) with down rod up to 80 cm with secondary support safety cable ( steel rope) , cotter pin with 3 x 1.5 sq.mm pvc insulated flexible copper conductor making connection testing etc. as required. All as per pre approved by Engineer in charge.  For additional technical parameters of products/ work  , refer   Annexure "A" attached with this BSR .</t>
  </si>
  <si>
    <t>1200 mm Sweep BEE 1 Star rated (service value &gt;=4.0 to &lt; 4.5 )</t>
  </si>
  <si>
    <t>Providing &amp; Fixing of IP20 SMD Mid Power LED batten type integrated light fixture made from Powder coated Extruded aluminium  housing with in built driver  , System lumen efficacy ≥ 110 lm/Watt output, internal surge protection of 2.5 KV with Short &amp; Open circuit protection ,THD &lt; 10% , P. F.≥0.95, CRI &gt;80 , life time of minimum  50000 Burning Hours with , 70% of intial Lumen maintaned till life ends  , CCT 3000°K / 4000°K  / 5700°K /6000°K/6500°K (As per ANSI Bin) , Maximum power consumption should not more than the specified rating and Fixture shall be of  BIS standard and  trade mark certificate ( T.C.). Manufactures Word Mark/ Name Engraved/ Embossing/ Screen printing on housing. OEM must have its own in house NABL lab setup for all testing facilities for LED fixtures. (LM79 &amp; LM80) certificate / Report from OEM shall be submitted.  All as per pre approved by Engineer in charge.  For additional technical parameters of products/ work  , refer   Annexure "A" attached with this BSR .</t>
  </si>
  <si>
    <t>1170mm(+/-10%) LED batten with min. lumen output 2200 lm</t>
  </si>
  <si>
    <t>Providing &amp; Fixing of 240/415 V AC MCB with positive isolation of 10 kA breaking capacity (B/ C/D tripping characteristic as per type of load and  site requirement) 4 KV impulse withstand voltage, ISI marked IS 8828(1996) / conforming to IEC 60898-1 2002, IEC 60947-2, low watt losses, trip free mechanisum , energy limiting of  class 3 as per IEC,  minimum phase termination capacity of 35sq.mm. , conductor line load reversibility , IP 20 contact protection and fitted in  existing distribution board/sheets, minimum electrical operation 20,000 upto 20 A rating and 10,000 upto 63 A, 5000 for 80 A &amp; above rating  including making connections, testing etc. as required. OEM shall have submit  NABL / CPRI / ERDA accrediated   lab type test reports  &amp; All as per pre approved by Engineer in charge. For additional technical parameters of product / work refer Annexure 'A' attached with this BSR</t>
  </si>
  <si>
    <t>Single pole MCB   (With B/C curve tripping Characteristics)</t>
  </si>
  <si>
    <t xml:space="preserve"> 6 A to 32 A rating</t>
  </si>
  <si>
    <t>Double pole MCB(With B/C curve tripping Characteristics)</t>
  </si>
  <si>
    <t xml:space="preserve"> 50/63 A rating</t>
  </si>
  <si>
    <t>Providing &amp; Fixing of Recessed/surface mounting heavy duty horizontal type Double Door ( Metal / Glazed )Distribution board with Metal end box made out from Galvanized steel / CRCA sheet not less then 1.2 mm thick  conforming to IS-8623-1 &amp; 3 /  IEC 61439- 1 &amp; 3, powder painted complete with reversible door (for double door DB only )100 amp.  insulated copper bus bar/shorting link , copper neutral link, copper earth link , color coded interconnecting wire set  of suitable rating and din bar,masking sheet,  making internal DB  terminations with copper lugs, Ferrules,  detachable gland plate, including making connections, testing etc. as required. OEM shall have submit  NABL / CPRI / ERDA accrediated   lab type test reports  &amp; All as per pre approved by Engineer in charge. For additional technical parameters of product / work refer Annexure 'A' attached with this BSR</t>
  </si>
  <si>
    <t>Metal door (single phase) IK-09 and IP-43 with Metal end box</t>
  </si>
  <si>
    <t>8 Way (8+2)</t>
  </si>
  <si>
    <t xml:space="preserve">Date of written order to commence work : </t>
  </si>
  <si>
    <t>Supplying and drawing FR PVC insulated &amp; unsheathed flexible copper conductor as per PWD specification for electrical Works with ISI marked (IS:694) and as per IS 8130 : 2013 of 1.1 kV grade . Wire should be made from  99.90 % purity copper, class 2 stranding in acc. to IS:8130/IEC 60228 for  lower watt loss , oxygen free for less chances of oxidization, insulation PVC type A/C/D , flame retardant as per IS 10810-53, better amperage rating as per IS:3961 part 5,  in existing  surface or recessed PVC/ MS conduit/casing capping making connections with Copper Lugs of suitable size, Ferrules,testing etc. as required. OEM Must have its own in house NABL lab setup for all testing facilities for wires.   For additional technical parameters of product / work refer Annexure 'A' attached with this BSR</t>
  </si>
  <si>
    <t>1.5.1</t>
  </si>
  <si>
    <t>1.5.2</t>
  </si>
  <si>
    <t>1.5.3</t>
  </si>
  <si>
    <t>1.7.1</t>
  </si>
  <si>
    <t>7.10</t>
  </si>
  <si>
    <t>1.4.1</t>
  </si>
  <si>
    <t>1.4.2</t>
  </si>
  <si>
    <t>4.1.7</t>
  </si>
  <si>
    <t>4.1.14</t>
  </si>
  <si>
    <t>14.6.8</t>
  </si>
  <si>
    <t>15.7.1</t>
  </si>
  <si>
    <t>17.1.1</t>
  </si>
  <si>
    <t>6.1.1</t>
  </si>
  <si>
    <t>6.1.1.2</t>
  </si>
  <si>
    <t>6.1.2</t>
  </si>
  <si>
    <t>6.1.2.4</t>
  </si>
  <si>
    <t>6.10.1</t>
  </si>
  <si>
    <t>6.10.1.3</t>
  </si>
  <si>
    <t>BSR</t>
  </si>
  <si>
    <t>Agreement No.</t>
  </si>
  <si>
    <t>Grand Total</t>
  </si>
  <si>
    <t xml:space="preserve">St. date of completion : </t>
  </si>
  <si>
    <t xml:space="preserve">Date of actual completion of work : </t>
  </si>
  <si>
    <t xml:space="preserve">Date of measurement : </t>
  </si>
  <si>
    <t xml:space="preserve">St. date of Start : </t>
  </si>
  <si>
    <t>Electric Repair and MTC work at Govt. Ambedkar hostel Ambamata, Govardhanvilas, Udaipur</t>
  </si>
  <si>
    <t>48/2024-25</t>
  </si>
  <si>
    <t>Providing &amp; Fixing of modular type lockable feature socket duly made out of unbreakable and fire retardant vergin poly carbonate with brass terminals and captive screws &amp; silver alloy contact tip with IP-20 rating, including all as per pre approved by Engineer in charge, making connections, testing etc. as required. For additional technical parameters of product / work refer Annexure 'A' attached with this BSR</t>
  </si>
  <si>
    <t>6 A 3/5 pin shuttered socket</t>
  </si>
  <si>
    <t>6/16 A shuttered socket</t>
  </si>
  <si>
    <t xml:space="preserve"> Minimum lumen output 2500 Im Post top Luminarie</t>
  </si>
  <si>
    <t xml:space="preserve">Name of Contractor or supplier : </t>
  </si>
  <si>
    <t>M/s Seema Electrical Udaipur</t>
  </si>
  <si>
    <t xml:space="preserve">Name of Work ;- </t>
  </si>
  <si>
    <t>Serial No. of this bill :</t>
  </si>
  <si>
    <t xml:space="preserve">No. and date of the last bill- </t>
  </si>
  <si>
    <t>Not Applicable</t>
  </si>
  <si>
    <t>Reference to work order or Agreement :</t>
  </si>
  <si>
    <t>First &amp; Final Bill</t>
  </si>
  <si>
    <t>1179 Dt. 09-01-2025</t>
  </si>
  <si>
    <t xml:space="preserve">Name of Work :- </t>
  </si>
  <si>
    <t/>
  </si>
  <si>
    <t>E-01</t>
  </si>
  <si>
    <t>E-02</t>
  </si>
  <si>
    <t>E-03</t>
  </si>
  <si>
    <t>E-04</t>
  </si>
  <si>
    <t>E-05</t>
  </si>
  <si>
    <t>E-06</t>
  </si>
  <si>
    <t>Qty.</t>
  </si>
  <si>
    <t>Particulars</t>
  </si>
  <si>
    <t>Ref. BSR No.</t>
  </si>
  <si>
    <t>EXTRA ITEM SLIP</t>
  </si>
  <si>
    <t xml:space="preserve">Reference to work order or Agreement : </t>
  </si>
  <si>
    <t>(c) By cheque</t>
  </si>
  <si>
    <t>Dated initials of Disbursing Officer</t>
  </si>
  <si>
    <t>Received Rs.</t>
  </si>
  <si>
    <t>Cheque</t>
  </si>
  <si>
    <t>Quantity executed (or supplied) since last certificate</t>
  </si>
  <si>
    <t>Quantity executed (or supplied) upto date as per MB</t>
  </si>
  <si>
    <t>Item of Work supplies (Grouped under "sub-head" and "sub work" of estimate)</t>
  </si>
  <si>
    <t>Upto date</t>
  </si>
  <si>
    <t>Since previous bill (Total for each sub-head)</t>
  </si>
  <si>
    <t>Total</t>
  </si>
  <si>
    <t>Liquidated Damages (Recovery)</t>
  </si>
  <si>
    <t>L.C</t>
  </si>
  <si>
    <t>GST</t>
  </si>
  <si>
    <t>L.T</t>
  </si>
  <si>
    <t>S.D.II</t>
  </si>
  <si>
    <t>Deductions:-</t>
  </si>
  <si>
    <t>Amount of Extra Items Rs.</t>
  </si>
  <si>
    <t>Yes</t>
  </si>
  <si>
    <t>(B) Extra Item</t>
  </si>
  <si>
    <t>(A) Is It a Repair / Maintenance Work</t>
  </si>
  <si>
    <t>-------------------</t>
  </si>
  <si>
    <t>Other Inputs</t>
  </si>
  <si>
    <t>No. Of selection item checked by the EE</t>
  </si>
  <si>
    <t>Date of Checking and % on the Checked By AEN</t>
  </si>
  <si>
    <t>Prorata Progress on the Work maintained by the Firm</t>
  </si>
  <si>
    <t>Net Amount of This Bill Rs.</t>
  </si>
  <si>
    <t>Balance to be done Rs.</t>
  </si>
  <si>
    <t>Actual Expenditure up to this Bill Rs.</t>
  </si>
  <si>
    <t>Amount of Work Order Rs.</t>
  </si>
  <si>
    <t>Whether any notice issued</t>
  </si>
  <si>
    <t>In case of delay weather, Provisional Extension Granted</t>
  </si>
  <si>
    <t>Actual Date of Completion</t>
  </si>
  <si>
    <t>Date of Completion</t>
  </si>
  <si>
    <t>Date of Commencement</t>
  </si>
  <si>
    <t>Original/Deposit</t>
  </si>
  <si>
    <t>Name of Work</t>
  </si>
  <si>
    <t>Name of Sub Dn</t>
  </si>
  <si>
    <t>M.B No.</t>
  </si>
  <si>
    <t>Tech. Section</t>
  </si>
  <si>
    <t>Adm. Section</t>
  </si>
  <si>
    <t>Chargeable Head</t>
  </si>
  <si>
    <t>Details</t>
  </si>
  <si>
    <t>FINAL BILL SCRUTINY SHEET</t>
  </si>
  <si>
    <t>SD @10%</t>
  </si>
  <si>
    <t>IT @2%</t>
  </si>
  <si>
    <t>GST@2% Even</t>
  </si>
  <si>
    <t>LC @1%</t>
  </si>
  <si>
    <t>Deposit-V</t>
  </si>
  <si>
    <t>Date-</t>
  </si>
  <si>
    <t>8443-00-108-00-00</t>
  </si>
  <si>
    <t>887/Pg. No. 04-20</t>
  </si>
  <si>
    <t>Rajsamand</t>
  </si>
  <si>
    <t>Name of Firm</t>
  </si>
  <si>
    <t>Deposit</t>
  </si>
  <si>
    <t>Yes. Time Extension sanctioned is enclosed proposing 18 days delay on part of the contractor and remaining on Govt. The case is to be approved by this office.</t>
  </si>
  <si>
    <t>Date on Which record Measurement taken by JEN AC</t>
  </si>
  <si>
    <t>No</t>
  </si>
  <si>
    <t>(C) Any Excess Item Executed?</t>
  </si>
  <si>
    <t>(D) Any Inadvertent Delay in Bill Submission ?</t>
  </si>
  <si>
    <t>Total Amount of  Extra Item Executed</t>
  </si>
  <si>
    <t>WORK ORDER AMOUNT RS.</t>
  </si>
  <si>
    <t>Above</t>
  </si>
  <si>
    <t>TENDER PREMIUM %</t>
  </si>
  <si>
    <t>%</t>
  </si>
  <si>
    <t xml:space="preserve">Tender Premium @ </t>
  </si>
  <si>
    <t>Extra Items (With Premium)</t>
  </si>
  <si>
    <t>Payable Amount</t>
  </si>
  <si>
    <t>&lt;&lt;&lt;&lt;&lt;&lt;&lt;&lt;sum of extra items incuding tender premium</t>
  </si>
  <si>
    <t>AS PER WORK ORDER</t>
  </si>
  <si>
    <t>AS EXECUTED</t>
  </si>
  <si>
    <t>EXCESS</t>
  </si>
  <si>
    <t>SAVING</t>
  </si>
  <si>
    <t>REMARKS/ REASON</t>
  </si>
  <si>
    <t>DEVIATION STATEMENT</t>
  </si>
  <si>
    <t>Grand Total including Tender Premium</t>
  </si>
  <si>
    <t>ABOVE</t>
  </si>
  <si>
    <t>Overall Excess With Respect to the Work Order Amount Rs.</t>
  </si>
  <si>
    <t>Overall Excess With Respect to the Work Order Amount %</t>
  </si>
  <si>
    <t>Add Tender Premium (5.10% above)</t>
  </si>
  <si>
    <t xml:space="preserve">1. The work has been completed 131.06% of the Work Order Amount._x000D_
2. Requisite Deviation Statement is enclosed. The Overall Excess is more than 5% and Approval of the Deviation Case is required from the Superintending Engineer, PWD Electrical Circle, Udaipur._x000D_
3. Work was completed in time._x000D_
4. The amount of Extra items is Rs. 18418. which is 2.15. % of the Work Order Amount; under 5%, approval of the same is to be granted by this office._x000D_
5. Quality Control (QC) test reports attached._x000D_
6. A copy of Hand Over statement duly signed by client department representative is attached._x000D_
7. Please peruse above details for necessary decision-making._x000D_
 _x000D_
                                Premlata Jain_x000D_
                               AAO- As Auditor_x000D_
</t>
  </si>
  <si>
    <t>III. MEMORANDUM OF PAYMENTS</t>
  </si>
  <si>
    <t>Amount Rs.</t>
  </si>
  <si>
    <t>Total value of work actually measured, as per Account I, Col. 5, Entry</t>
  </si>
  <si>
    <t>[A]</t>
  </si>
  <si>
    <t xml:space="preserve">Total up-to-date advance payments for work not yet measured as per details given below </t>
  </si>
  <si>
    <t>(a) Total as per previous bill</t>
  </si>
  <si>
    <t>[B]</t>
  </si>
  <si>
    <t>(b) Since previous bill: as per page …............of M.B. No...............</t>
  </si>
  <si>
    <t>(D)</t>
  </si>
  <si>
    <t>Total up-to-date secured advances on security of materials as per Annexure (Form 26-A) Column 8 Entry</t>
  </si>
  <si>
    <t>[C]</t>
  </si>
  <si>
    <t>Nil.</t>
  </si>
  <si>
    <t>Total (Item 1 + 2 + 3)</t>
  </si>
  <si>
    <t>Deduct: Amount Withheld</t>
  </si>
  <si>
    <t>(a) From previous bill as per last Running Account Bill</t>
  </si>
  <si>
    <t>[5]</t>
  </si>
  <si>
    <t>(b) From this bill</t>
  </si>
  <si>
    <t>Balance i.e. "up-to-date" payments (Item 4-5)</t>
  </si>
  <si>
    <t>Total Amount of Payments Already Made as per Entry (K), of last Running Account Bill</t>
  </si>
  <si>
    <t>[K]</t>
  </si>
  <si>
    <t xml:space="preserve">Payments Now to be Made as detailed below </t>
  </si>
  <si>
    <t>(a) By recovery of amounts creditable to this work</t>
  </si>
  <si>
    <t>[a]</t>
  </si>
  <si>
    <t>Total 5(b) + 8(a)</t>
  </si>
  <si>
    <t>[G]</t>
  </si>
  <si>
    <t>(b) By recovery of amount creditable to other works or heads of account</t>
  </si>
  <si>
    <t>(b)</t>
  </si>
  <si>
    <t>(c)</t>
  </si>
  <si>
    <t>Total 8(b) + 8(c)</t>
  </si>
  <si>
    <t>Pay Rs.</t>
  </si>
  <si>
    <t>Rupees</t>
  </si>
  <si>
    <t>By Cheque</t>
  </si>
  <si>
    <t>STAMP</t>
  </si>
  <si>
    <t>as per above memorandum on account of this bill</t>
  </si>
  <si>
    <t>Dated</t>
  </si>
  <si>
    <t>Witness</t>
  </si>
  <si>
    <t>Signature of Contractor</t>
  </si>
  <si>
    <t xml:space="preserve">Paid by me, vide cheque No.                 dated                                             </t>
  </si>
  <si>
    <t>Dated initials of person actually making the payment</t>
  </si>
  <si>
    <t>Nil</t>
  </si>
  <si>
    <t>Less Amount paid vide last Bill</t>
  </si>
  <si>
    <t>NET PAYABLE AMOUNT</t>
  </si>
  <si>
    <t>ADD Tender Premium @ 5.10% above</t>
  </si>
</sst>
</file>

<file path=xl/styles.xml><?xml version="1.0" encoding="utf-8"?>
<styleSheet xmlns="http://schemas.openxmlformats.org/spreadsheetml/2006/main" xmlns:mc="http://schemas.openxmlformats.org/markup-compatibility/2006" xmlns:x14ac="http://schemas.microsoft.com/office/spreadsheetml/2009/9/ac" mc:Ignorable="x14ac">
  <fonts count="18">
    <font>
      <sz val="11"/>
      <color theme="1"/>
      <name val="Calibri"/>
      <family val="2"/>
      <scheme val="minor"/>
    </font>
    <font>
      <sz val="12"/>
      <name val="Arial"/>
      <family val="2"/>
    </font>
    <font>
      <sz val="10"/>
      <name val="Arial"/>
      <family val="2"/>
    </font>
    <font>
      <sz val="11"/>
      <color theme="1"/>
      <name val="Calibri"/>
      <family val="2"/>
      <scheme val="minor"/>
    </font>
    <font>
      <sz val="10"/>
      <name val="Helv"/>
      <charset val="204"/>
    </font>
    <font>
      <sz val="10"/>
      <name val="Helv"/>
      <family val="2"/>
    </font>
    <font>
      <sz val="9"/>
      <name val="Calibri"/>
      <family val="2"/>
    </font>
    <font>
      <b/>
      <sz val="9"/>
      <name val="Calibri"/>
      <family val="2"/>
    </font>
    <font>
      <sz val="9"/>
      <color theme="1"/>
      <name val="Calibri"/>
      <family val="2"/>
      <scheme val="minor"/>
    </font>
    <font>
      <sz val="9"/>
      <color theme="1"/>
      <name val="Calibri"/>
      <family val="2"/>
    </font>
    <font>
      <b/>
      <u/>
      <sz val="9"/>
      <name val="Calibri"/>
      <family val="2"/>
    </font>
    <font>
      <sz val="9"/>
      <name val="Calibri"/>
      <family val="2"/>
      <scheme val="minor"/>
    </font>
    <font>
      <sz val="11"/>
      <color rgb="FF000000"/>
      <name val="Calibri"/>
      <family val="2"/>
    </font>
    <font>
      <b/>
      <sz val="9"/>
      <name val="Calibri"/>
      <family val="2"/>
      <scheme val="minor"/>
    </font>
    <font>
      <b/>
      <u/>
      <sz val="9"/>
      <color theme="1"/>
      <name val="Calibri"/>
      <family val="2"/>
      <scheme val="minor"/>
    </font>
    <font>
      <b/>
      <sz val="12"/>
      <color theme="1"/>
      <name val="Arial Rounded MT Bold"/>
      <family val="2"/>
    </font>
    <font>
      <sz val="12"/>
      <color theme="1"/>
      <name val="Arial Rounded MT Bold"/>
      <family val="2"/>
    </font>
    <font>
      <b/>
      <sz val="9"/>
      <color theme="1"/>
      <name val="Calibri"/>
      <family val="2"/>
      <scheme val="minor"/>
    </font>
  </fonts>
  <fills count="3">
    <fill>
      <patternFill patternType="none"/>
    </fill>
    <fill>
      <patternFill patternType="gray125"/>
    </fill>
    <fill>
      <patternFill patternType="solid">
        <fgColor rgb="FFFFFF00"/>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7">
    <xf numFmtId="0" fontId="0" fillId="0" borderId="0"/>
    <xf numFmtId="0" fontId="1" fillId="0" borderId="0"/>
    <xf numFmtId="0" fontId="4" fillId="0" borderId="0"/>
    <xf numFmtId="0" fontId="4" fillId="0" borderId="0"/>
    <xf numFmtId="0" fontId="5" fillId="0" borderId="0"/>
    <xf numFmtId="0" fontId="2" fillId="0" borderId="0"/>
    <xf numFmtId="0" fontId="3" fillId="0" borderId="0"/>
  </cellStyleXfs>
  <cellXfs count="157">
    <xf numFmtId="0" fontId="0" fillId="0" borderId="0" xfId="0"/>
    <xf numFmtId="0" fontId="6" fillId="0" borderId="0" xfId="1" applyFont="1" applyAlignment="1">
      <alignment horizontal="center" vertical="top" wrapText="1"/>
    </xf>
    <xf numFmtId="0" fontId="6" fillId="0" borderId="0" xfId="1" applyFont="1"/>
    <xf numFmtId="0" fontId="6" fillId="0" borderId="0" xfId="1" applyFont="1" applyAlignment="1">
      <alignment vertical="top" wrapText="1"/>
    </xf>
    <xf numFmtId="0" fontId="6" fillId="0" borderId="0" xfId="1" applyFont="1" applyAlignment="1">
      <alignment horizontal="right"/>
    </xf>
    <xf numFmtId="0" fontId="6" fillId="0" borderId="0" xfId="1" applyFont="1" applyAlignment="1">
      <alignment vertical="top"/>
    </xf>
    <xf numFmtId="14" fontId="6" fillId="0" borderId="0" xfId="1" applyNumberFormat="1" applyFont="1" applyAlignment="1">
      <alignment vertical="top" wrapText="1"/>
    </xf>
    <xf numFmtId="0" fontId="8" fillId="0" borderId="0" xfId="0" applyFont="1" applyAlignment="1">
      <alignment vertical="top"/>
    </xf>
    <xf numFmtId="0" fontId="8" fillId="0" borderId="0" xfId="0" applyFont="1" applyAlignment="1">
      <alignment vertical="top" wrapText="1"/>
    </xf>
    <xf numFmtId="0" fontId="9" fillId="0" borderId="1" xfId="0" applyFont="1" applyBorder="1" applyAlignment="1">
      <alignment vertical="top" wrapText="1"/>
    </xf>
    <xf numFmtId="0" fontId="8" fillId="0" borderId="1" xfId="0" applyFont="1" applyBorder="1" applyAlignment="1">
      <alignment vertical="top"/>
    </xf>
    <xf numFmtId="0" fontId="8" fillId="0" borderId="1" xfId="0" applyFont="1" applyBorder="1" applyAlignment="1">
      <alignment vertical="top" wrapText="1"/>
    </xf>
    <xf numFmtId="0" fontId="8" fillId="0" borderId="1" xfId="0" applyFont="1" applyBorder="1" applyAlignment="1">
      <alignment horizontal="left" vertical="top" wrapText="1"/>
    </xf>
    <xf numFmtId="0" fontId="6" fillId="0" borderId="0" xfId="1" applyFont="1" applyAlignment="1">
      <alignment horizontal="center"/>
    </xf>
    <xf numFmtId="0" fontId="6" fillId="0" borderId="0" xfId="1" applyFont="1" applyAlignment="1">
      <alignment horizontal="center" vertical="top"/>
    </xf>
    <xf numFmtId="0" fontId="6" fillId="0" borderId="1" xfId="1" applyFont="1" applyBorder="1"/>
    <xf numFmtId="0" fontId="7" fillId="0" borderId="0" xfId="1" applyFont="1"/>
    <xf numFmtId="0" fontId="10" fillId="0" borderId="0" xfId="1" applyFont="1" applyAlignment="1">
      <alignment horizontal="center"/>
    </xf>
    <xf numFmtId="0" fontId="6" fillId="0" borderId="0" xfId="1" applyFont="1" applyAlignment="1">
      <alignment horizontal="left" vertical="top"/>
    </xf>
    <xf numFmtId="0" fontId="6" fillId="0" borderId="1" xfId="1" applyFont="1" applyBorder="1" applyAlignment="1">
      <alignment horizontal="center" vertical="top" wrapText="1"/>
    </xf>
    <xf numFmtId="0" fontId="6" fillId="0" borderId="1" xfId="1" applyFont="1" applyBorder="1" applyAlignment="1">
      <alignment horizontal="center" vertical="top"/>
    </xf>
    <xf numFmtId="0" fontId="6" fillId="0" borderId="1" xfId="1" applyFont="1" applyBorder="1" applyAlignment="1">
      <alignment vertical="top" wrapText="1"/>
    </xf>
    <xf numFmtId="2" fontId="6" fillId="0" borderId="1" xfId="1" applyNumberFormat="1" applyFont="1" applyBorder="1"/>
    <xf numFmtId="0" fontId="6" fillId="0" borderId="1" xfId="1" applyFont="1" applyBorder="1" applyAlignment="1">
      <alignment horizontal="justify" vertical="top" wrapText="1"/>
    </xf>
    <xf numFmtId="0" fontId="8" fillId="0" borderId="0" xfId="0" applyFont="1"/>
    <xf numFmtId="0" fontId="11" fillId="0" borderId="1" xfId="1" applyFont="1" applyBorder="1" applyAlignment="1">
      <alignment horizontal="center" vertical="center" textRotation="90" wrapText="1"/>
    </xf>
    <xf numFmtId="0" fontId="11" fillId="0" borderId="1" xfId="1" applyFont="1" applyBorder="1" applyAlignment="1">
      <alignment horizontal="left" vertical="center" textRotation="90" wrapText="1"/>
    </xf>
    <xf numFmtId="0" fontId="11" fillId="0" borderId="1" xfId="1" applyFont="1" applyBorder="1" applyAlignment="1">
      <alignment horizontal="left" vertical="top" wrapText="1"/>
    </xf>
    <xf numFmtId="0" fontId="11" fillId="0" borderId="1" xfId="1" applyFont="1" applyBorder="1" applyAlignment="1">
      <alignment horizontal="center" vertical="top" wrapText="1"/>
    </xf>
    <xf numFmtId="0" fontId="11" fillId="0" borderId="1" xfId="1" applyFont="1" applyBorder="1" applyAlignment="1">
      <alignment horizontal="center" wrapText="1"/>
    </xf>
    <xf numFmtId="0" fontId="11" fillId="0" borderId="0" xfId="1" applyFont="1"/>
    <xf numFmtId="0" fontId="11" fillId="0" borderId="1" xfId="1" applyFont="1" applyBorder="1" applyAlignment="1">
      <alignment horizontal="center"/>
    </xf>
    <xf numFmtId="0" fontId="11" fillId="0" borderId="1" xfId="1" applyFont="1" applyBorder="1" applyAlignment="1">
      <alignment horizontal="left"/>
    </xf>
    <xf numFmtId="0" fontId="11" fillId="0" borderId="1" xfId="1" applyFont="1" applyBorder="1" applyAlignment="1">
      <alignment horizontal="center" vertical="top"/>
    </xf>
    <xf numFmtId="0" fontId="7" fillId="0" borderId="0" xfId="1" applyFont="1" applyAlignment="1">
      <alignment horizontal="left"/>
    </xf>
    <xf numFmtId="14" fontId="7" fillId="0" borderId="0" xfId="1" applyNumberFormat="1" applyFont="1"/>
    <xf numFmtId="14" fontId="7" fillId="0" borderId="0" xfId="1" applyNumberFormat="1" applyFont="1" applyAlignment="1">
      <alignment vertical="top" wrapText="1"/>
    </xf>
    <xf numFmtId="0" fontId="8" fillId="0" borderId="1" xfId="0" applyFont="1" applyBorder="1"/>
    <xf numFmtId="10" fontId="8" fillId="0" borderId="1" xfId="0" applyNumberFormat="1" applyFont="1" applyBorder="1"/>
    <xf numFmtId="0" fontId="8" fillId="0" borderId="1" xfId="0" applyFont="1" applyBorder="1" applyAlignment="1">
      <alignment horizontal="center"/>
    </xf>
    <xf numFmtId="1" fontId="6" fillId="0" borderId="1" xfId="1" applyNumberFormat="1" applyFont="1" applyBorder="1" applyAlignment="1">
      <alignment horizontal="center"/>
    </xf>
    <xf numFmtId="1" fontId="6" fillId="0" borderId="0" xfId="1" applyNumberFormat="1" applyFont="1" applyAlignment="1">
      <alignment vertical="top" wrapText="1"/>
    </xf>
    <xf numFmtId="0" fontId="9" fillId="0" borderId="12" xfId="0" applyFont="1" applyBorder="1" applyAlignment="1">
      <alignment vertical="top" wrapText="1"/>
    </xf>
    <xf numFmtId="2" fontId="8" fillId="0" borderId="13" xfId="0" applyNumberFormat="1" applyFont="1" applyBorder="1" applyAlignment="1">
      <alignment vertical="top"/>
    </xf>
    <xf numFmtId="0" fontId="8" fillId="0" borderId="14" xfId="0" quotePrefix="1" applyFont="1" applyBorder="1" applyAlignment="1">
      <alignment vertical="top"/>
    </xf>
    <xf numFmtId="0" fontId="8" fillId="0" borderId="15" xfId="0" applyFont="1" applyBorder="1" applyAlignment="1">
      <alignment vertical="top"/>
    </xf>
    <xf numFmtId="0" fontId="8" fillId="0" borderId="0" xfId="0" quotePrefix="1" applyFont="1"/>
    <xf numFmtId="2" fontId="8" fillId="0" borderId="1" xfId="0" applyNumberFormat="1" applyFont="1" applyBorder="1"/>
    <xf numFmtId="1" fontId="8" fillId="0" borderId="1" xfId="0" applyNumberFormat="1" applyFont="1" applyBorder="1" applyAlignment="1">
      <alignment horizontal="center"/>
    </xf>
    <xf numFmtId="0" fontId="13" fillId="0" borderId="1" xfId="1" applyFont="1" applyBorder="1" applyAlignment="1">
      <alignment horizontal="center" wrapText="1"/>
    </xf>
    <xf numFmtId="0" fontId="6" fillId="0" borderId="0" xfId="1" applyFont="1" applyAlignment="1">
      <alignment horizontal="right" vertical="top" wrapText="1"/>
    </xf>
    <xf numFmtId="0" fontId="6" fillId="0" borderId="0" xfId="1" applyFont="1" applyAlignment="1">
      <alignment horizontal="left"/>
    </xf>
    <xf numFmtId="14" fontId="6" fillId="0" borderId="0" xfId="1" applyNumberFormat="1" applyFont="1" applyAlignment="1">
      <alignment horizontal="left" vertical="top" wrapText="1"/>
    </xf>
    <xf numFmtId="0" fontId="9" fillId="0" borderId="1" xfId="0" applyFont="1" applyBorder="1" applyAlignment="1">
      <alignment horizontal="center" vertical="top" wrapText="1"/>
    </xf>
    <xf numFmtId="0" fontId="8" fillId="0" borderId="0" xfId="0" applyFont="1" applyAlignment="1">
      <alignment horizontal="center" vertical="top"/>
    </xf>
    <xf numFmtId="0" fontId="7" fillId="0" borderId="0" xfId="1" applyFont="1" applyAlignment="1">
      <alignment vertical="top"/>
    </xf>
    <xf numFmtId="0" fontId="16" fillId="0" borderId="0" xfId="0" applyFont="1"/>
    <xf numFmtId="0" fontId="15" fillId="0" borderId="1" xfId="0" applyFont="1" applyBorder="1" applyAlignment="1">
      <alignment vertical="top"/>
    </xf>
    <xf numFmtId="0" fontId="15" fillId="0" borderId="1" xfId="0" applyFont="1" applyBorder="1" applyAlignment="1">
      <alignment vertical="top" wrapText="1"/>
    </xf>
    <xf numFmtId="0" fontId="16" fillId="0" borderId="1" xfId="0" applyFont="1" applyBorder="1" applyAlignment="1">
      <alignment vertical="top"/>
    </xf>
    <xf numFmtId="0" fontId="16" fillId="0" borderId="1" xfId="0" applyFont="1" applyBorder="1" applyAlignment="1">
      <alignment vertical="top" wrapText="1"/>
    </xf>
    <xf numFmtId="0" fontId="16" fillId="0" borderId="1" xfId="0" applyFont="1" applyBorder="1" applyAlignment="1">
      <alignment horizontal="left" vertical="top" wrapText="1"/>
    </xf>
    <xf numFmtId="0" fontId="15" fillId="0" borderId="1" xfId="0" applyFont="1" applyBorder="1" applyAlignment="1">
      <alignment horizontal="right" vertical="top" wrapText="1"/>
    </xf>
    <xf numFmtId="0" fontId="16" fillId="0" borderId="1" xfId="0" applyFont="1" applyBorder="1" applyAlignment="1">
      <alignment horizontal="right" vertical="top" wrapText="1"/>
    </xf>
    <xf numFmtId="0" fontId="16" fillId="0" borderId="1" xfId="0" quotePrefix="1" applyFont="1" applyBorder="1" applyAlignment="1">
      <alignment vertical="top" wrapText="1"/>
    </xf>
    <xf numFmtId="9" fontId="16" fillId="0" borderId="1" xfId="0" applyNumberFormat="1" applyFont="1" applyBorder="1" applyAlignment="1">
      <alignment vertical="top"/>
    </xf>
    <xf numFmtId="0" fontId="16" fillId="0" borderId="1" xfId="0" applyFont="1" applyBorder="1"/>
    <xf numFmtId="0" fontId="16" fillId="0" borderId="0" xfId="0" applyFont="1" applyAlignment="1">
      <alignment vertical="top"/>
    </xf>
    <xf numFmtId="0" fontId="16" fillId="0" borderId="0" xfId="0" applyFont="1" applyAlignment="1">
      <alignment vertical="top" wrapText="1"/>
    </xf>
    <xf numFmtId="0" fontId="6" fillId="2" borderId="16" xfId="1" applyFont="1" applyFill="1" applyBorder="1" applyAlignment="1">
      <alignment vertical="top" wrapText="1"/>
    </xf>
    <xf numFmtId="0" fontId="8" fillId="0" borderId="12" xfId="0" applyFont="1" applyBorder="1" applyAlignment="1">
      <alignment vertical="top"/>
    </xf>
    <xf numFmtId="0" fontId="7" fillId="2" borderId="16" xfId="1" applyFont="1" applyFill="1" applyBorder="1" applyAlignment="1">
      <alignment horizontal="left"/>
    </xf>
    <xf numFmtId="0" fontId="6" fillId="2" borderId="16" xfId="1" applyFont="1" applyFill="1" applyBorder="1" applyAlignment="1">
      <alignment vertical="top"/>
    </xf>
    <xf numFmtId="0" fontId="6" fillId="2" borderId="16" xfId="1" applyFont="1" applyFill="1" applyBorder="1"/>
    <xf numFmtId="0" fontId="7" fillId="2" borderId="16" xfId="1" applyFont="1" applyFill="1" applyBorder="1"/>
    <xf numFmtId="14" fontId="7" fillId="2" borderId="16" xfId="1" applyNumberFormat="1" applyFont="1" applyFill="1" applyBorder="1"/>
    <xf numFmtId="14" fontId="7" fillId="2" borderId="16" xfId="1" applyNumberFormat="1" applyFont="1" applyFill="1" applyBorder="1" applyAlignment="1">
      <alignment vertical="top" wrapText="1"/>
    </xf>
    <xf numFmtId="1" fontId="6" fillId="2" borderId="16" xfId="1" applyNumberFormat="1" applyFont="1" applyFill="1" applyBorder="1" applyAlignment="1">
      <alignment vertical="top" wrapText="1"/>
    </xf>
    <xf numFmtId="2" fontId="8" fillId="2" borderId="16" xfId="0" applyNumberFormat="1" applyFont="1" applyFill="1" applyBorder="1" applyAlignment="1">
      <alignment vertical="top"/>
    </xf>
    <xf numFmtId="0" fontId="8" fillId="2" borderId="16" xfId="0" quotePrefix="1" applyFont="1" applyFill="1" applyBorder="1" applyAlignment="1">
      <alignment vertical="top"/>
    </xf>
    <xf numFmtId="0" fontId="8" fillId="2" borderId="16" xfId="0" applyFont="1" applyFill="1" applyBorder="1" applyAlignment="1">
      <alignment vertical="top"/>
    </xf>
    <xf numFmtId="0" fontId="7" fillId="2" borderId="16" xfId="1" applyFont="1" applyFill="1" applyBorder="1" applyAlignment="1">
      <alignment horizontal="left" vertical="top" wrapText="1"/>
    </xf>
    <xf numFmtId="0" fontId="7" fillId="2" borderId="16" xfId="1" applyFont="1" applyFill="1" applyBorder="1" applyAlignment="1">
      <alignment vertical="top" wrapText="1"/>
    </xf>
    <xf numFmtId="14" fontId="7" fillId="2" borderId="16" xfId="1" applyNumberFormat="1" applyFont="1" applyFill="1" applyBorder="1" applyAlignment="1">
      <alignment horizontal="left" vertical="top" wrapText="1"/>
    </xf>
    <xf numFmtId="1" fontId="6" fillId="2" borderId="16" xfId="1" applyNumberFormat="1" applyFont="1" applyFill="1" applyBorder="1" applyAlignment="1">
      <alignment horizontal="left" vertical="top" wrapText="1"/>
    </xf>
    <xf numFmtId="0" fontId="6" fillId="0" borderId="17" xfId="1" applyFont="1" applyBorder="1" applyAlignment="1">
      <alignment horizontal="center" vertical="top"/>
    </xf>
    <xf numFmtId="0" fontId="6" fillId="0" borderId="17" xfId="1" applyFont="1" applyBorder="1" applyAlignment="1">
      <alignment horizontal="center" vertical="top" wrapText="1"/>
    </xf>
    <xf numFmtId="0" fontId="6" fillId="0" borderId="17" xfId="1" applyFont="1" applyBorder="1" applyAlignment="1">
      <alignment vertical="top" wrapText="1"/>
    </xf>
    <xf numFmtId="0" fontId="6" fillId="0" borderId="17" xfId="1" applyFont="1" applyBorder="1"/>
    <xf numFmtId="2" fontId="6" fillId="0" borderId="17" xfId="1" applyNumberFormat="1" applyFont="1" applyBorder="1"/>
    <xf numFmtId="0" fontId="8" fillId="0" borderId="17" xfId="0" applyFont="1" applyBorder="1" applyAlignment="1">
      <alignment horizontal="center"/>
    </xf>
    <xf numFmtId="0" fontId="6" fillId="0" borderId="17" xfId="1" applyFont="1" applyBorder="1" applyAlignment="1">
      <alignment horizontal="justify" vertical="top" wrapText="1"/>
    </xf>
    <xf numFmtId="0" fontId="8" fillId="0" borderId="18" xfId="0" applyFont="1" applyBorder="1"/>
    <xf numFmtId="0" fontId="8" fillId="0" borderId="18" xfId="0" applyFont="1" applyBorder="1" applyAlignment="1">
      <alignment horizontal="left"/>
    </xf>
    <xf numFmtId="0" fontId="14" fillId="0" borderId="18" xfId="0" applyFont="1" applyBorder="1" applyAlignment="1">
      <alignment horizontal="left" vertical="top" wrapText="1"/>
    </xf>
    <xf numFmtId="0" fontId="8" fillId="0" borderId="18" xfId="0" applyFont="1" applyBorder="1" applyAlignment="1">
      <alignment horizontal="left" vertical="top" wrapText="1"/>
    </xf>
    <xf numFmtId="10" fontId="8" fillId="0" borderId="18" xfId="0" applyNumberFormat="1" applyFont="1" applyBorder="1"/>
    <xf numFmtId="0" fontId="8" fillId="0" borderId="18" xfId="0" applyFont="1" applyBorder="1" applyAlignment="1">
      <alignment vertical="top" wrapText="1"/>
    </xf>
    <xf numFmtId="0" fontId="8" fillId="0" borderId="18" xfId="0" applyFont="1" applyBorder="1" applyAlignment="1">
      <alignment vertical="top"/>
    </xf>
    <xf numFmtId="0" fontId="8" fillId="0" borderId="18" xfId="0" applyFont="1" applyBorder="1" applyAlignment="1">
      <alignment horizontal="center" vertical="top"/>
    </xf>
    <xf numFmtId="0" fontId="8" fillId="0" borderId="0" xfId="0" applyFont="1" applyAlignment="1">
      <alignment horizontal="center" vertical="top" wrapText="1"/>
    </xf>
    <xf numFmtId="0" fontId="17" fillId="0" borderId="22" xfId="0" applyFont="1" applyBorder="1" applyAlignment="1">
      <alignment horizontal="center" vertical="center" wrapText="1"/>
    </xf>
    <xf numFmtId="0" fontId="17" fillId="0" borderId="22" xfId="0" applyFont="1" applyBorder="1" applyAlignment="1">
      <alignment horizontal="center" vertical="center"/>
    </xf>
    <xf numFmtId="1" fontId="17" fillId="0" borderId="22" xfId="0" applyNumberFormat="1" applyFont="1" applyBorder="1" applyAlignment="1">
      <alignment horizontal="center" vertical="center"/>
    </xf>
    <xf numFmtId="10" fontId="17" fillId="0" borderId="22" xfId="0" applyNumberFormat="1" applyFont="1" applyBorder="1" applyAlignment="1">
      <alignment horizontal="center" vertical="center"/>
    </xf>
    <xf numFmtId="0" fontId="0" fillId="0" borderId="3" xfId="0" applyBorder="1"/>
    <xf numFmtId="0" fontId="0" fillId="0" borderId="4" xfId="0" applyBorder="1"/>
    <xf numFmtId="0" fontId="0" fillId="0" borderId="5" xfId="0" applyBorder="1"/>
    <xf numFmtId="0" fontId="0" fillId="0" borderId="6" xfId="0" applyBorder="1"/>
    <xf numFmtId="0" fontId="0" fillId="0" borderId="23" xfId="0" applyBorder="1"/>
    <xf numFmtId="0" fontId="0" fillId="0" borderId="24" xfId="0" applyBorder="1"/>
    <xf numFmtId="0" fontId="0" fillId="0" borderId="0" xfId="0" quotePrefix="1"/>
    <xf numFmtId="0" fontId="0" fillId="0" borderId="25" xfId="0" applyBorder="1"/>
    <xf numFmtId="0" fontId="0" fillId="0" borderId="7" xfId="0" applyBorder="1"/>
    <xf numFmtId="0" fontId="0" fillId="0" borderId="22" xfId="0" applyBorder="1"/>
    <xf numFmtId="0" fontId="0" fillId="0" borderId="19" xfId="0" applyBorder="1"/>
    <xf numFmtId="0" fontId="0" fillId="0" borderId="20" xfId="0" applyBorder="1"/>
    <xf numFmtId="0" fontId="0" fillId="0" borderId="21" xfId="0" applyBorder="1" applyAlignment="1">
      <alignment horizontal="right"/>
    </xf>
    <xf numFmtId="0" fontId="0" fillId="0" borderId="24" xfId="0" applyBorder="1" applyAlignment="1">
      <alignment horizontal="left"/>
    </xf>
    <xf numFmtId="0" fontId="0" fillId="0" borderId="25" xfId="0" applyBorder="1" applyAlignment="1">
      <alignment horizontal="left"/>
    </xf>
    <xf numFmtId="0" fontId="0" fillId="0" borderId="24" xfId="0" applyBorder="1" applyAlignment="1">
      <alignment horizontal="right"/>
    </xf>
    <xf numFmtId="0" fontId="0" fillId="0" borderId="25" xfId="0" applyBorder="1" applyAlignment="1">
      <alignment horizontal="right"/>
    </xf>
    <xf numFmtId="0" fontId="6" fillId="0" borderId="0" xfId="1" applyFont="1" applyBorder="1" applyAlignment="1">
      <alignment horizontal="right"/>
    </xf>
    <xf numFmtId="0" fontId="7" fillId="0" borderId="18" xfId="1" applyFont="1" applyBorder="1" applyAlignment="1">
      <alignment horizontal="center"/>
    </xf>
    <xf numFmtId="0" fontId="7" fillId="0" borderId="9" xfId="1" applyFont="1" applyBorder="1" applyAlignment="1">
      <alignment horizontal="center"/>
    </xf>
    <xf numFmtId="0" fontId="0" fillId="0" borderId="22" xfId="0" applyBorder="1" applyAlignment="1">
      <alignment horizontal="center"/>
    </xf>
    <xf numFmtId="0" fontId="0" fillId="0" borderId="24" xfId="0" applyBorder="1" applyAlignment="1">
      <alignment horizontal="center"/>
    </xf>
    <xf numFmtId="0" fontId="0" fillId="0" borderId="0" xfId="0" applyAlignment="1">
      <alignment horizontal="left"/>
    </xf>
    <xf numFmtId="0" fontId="0" fillId="0" borderId="0" xfId="0" applyAlignment="1"/>
    <xf numFmtId="0" fontId="0" fillId="0" borderId="23" xfId="0" applyBorder="1" applyAlignment="1">
      <alignment horizontal="right"/>
    </xf>
    <xf numFmtId="0" fontId="6" fillId="0" borderId="0" xfId="1" applyFont="1" applyAlignment="1">
      <alignment horizontal="center" vertical="top" wrapText="1"/>
    </xf>
    <xf numFmtId="0" fontId="7" fillId="0" borderId="0" xfId="1" applyFont="1" applyAlignment="1">
      <alignment horizontal="center"/>
    </xf>
    <xf numFmtId="0" fontId="6" fillId="2" borderId="8" xfId="1" applyFont="1" applyFill="1" applyBorder="1" applyAlignment="1">
      <alignment horizontal="left" vertical="top" wrapText="1"/>
    </xf>
    <xf numFmtId="0" fontId="6" fillId="2" borderId="0" xfId="1" applyFont="1" applyFill="1" applyAlignment="1">
      <alignment horizontal="left" vertical="top" wrapText="1"/>
    </xf>
    <xf numFmtId="0" fontId="8" fillId="0" borderId="1" xfId="0" quotePrefix="1" applyFont="1" applyBorder="1" applyAlignment="1">
      <alignment horizontal="center" vertical="top"/>
    </xf>
    <xf numFmtId="0" fontId="8" fillId="0" borderId="1" xfId="0" applyFont="1" applyBorder="1" applyAlignment="1">
      <alignment horizontal="center" vertical="top" wrapText="1"/>
    </xf>
    <xf numFmtId="0" fontId="9" fillId="0" borderId="1" xfId="0" applyFont="1" applyBorder="1" applyAlignment="1">
      <alignment horizontal="center" vertical="top" wrapText="1"/>
    </xf>
    <xf numFmtId="0" fontId="6" fillId="0" borderId="0" xfId="1" applyFont="1" applyAlignment="1">
      <alignment horizontal="left" vertical="top" wrapText="1"/>
    </xf>
    <xf numFmtId="0" fontId="6" fillId="0" borderId="2" xfId="1" applyFont="1" applyBorder="1" applyAlignment="1">
      <alignment horizontal="left" vertical="top" wrapText="1"/>
    </xf>
    <xf numFmtId="0" fontId="16" fillId="0" borderId="0" xfId="0" applyFont="1" applyAlignment="1">
      <alignment horizontal="left" vertical="top" wrapText="1"/>
    </xf>
    <xf numFmtId="0" fontId="16" fillId="0" borderId="11" xfId="0" quotePrefix="1" applyFont="1" applyBorder="1" applyAlignment="1">
      <alignment horizontal="left" vertical="top" wrapText="1"/>
    </xf>
    <xf numFmtId="0" fontId="16" fillId="0" borderId="10" xfId="0" quotePrefix="1" applyFont="1" applyBorder="1" applyAlignment="1">
      <alignment horizontal="left" vertical="top" wrapText="1"/>
    </xf>
    <xf numFmtId="0" fontId="16" fillId="0" borderId="1" xfId="0" applyFont="1" applyBorder="1" applyAlignment="1">
      <alignment horizontal="center" vertical="top" wrapText="1"/>
    </xf>
    <xf numFmtId="0" fontId="16" fillId="0" borderId="1" xfId="0" quotePrefix="1" applyFont="1" applyBorder="1" applyAlignment="1">
      <alignment horizontal="left" vertical="top" wrapText="1"/>
    </xf>
    <xf numFmtId="1" fontId="16" fillId="0" borderId="11" xfId="0" quotePrefix="1" applyNumberFormat="1" applyFont="1" applyBorder="1" applyAlignment="1">
      <alignment horizontal="left" vertical="top" wrapText="1"/>
    </xf>
    <xf numFmtId="0" fontId="16" fillId="0" borderId="1" xfId="0" applyFont="1" applyBorder="1" applyAlignment="1">
      <alignment horizontal="left" vertical="top" wrapText="1"/>
    </xf>
    <xf numFmtId="14" fontId="16" fillId="2" borderId="1" xfId="0" applyNumberFormat="1" applyFont="1" applyFill="1" applyBorder="1" applyAlignment="1">
      <alignment horizontal="left" vertical="top" wrapText="1"/>
    </xf>
    <xf numFmtId="0" fontId="16" fillId="2" borderId="1" xfId="0" applyFont="1" applyFill="1" applyBorder="1" applyAlignment="1">
      <alignment horizontal="left" vertical="top" wrapText="1"/>
    </xf>
    <xf numFmtId="1" fontId="16" fillId="0" borderId="1" xfId="0" applyNumberFormat="1" applyFont="1" applyBorder="1" applyAlignment="1">
      <alignment horizontal="left" vertical="top" wrapText="1"/>
    </xf>
    <xf numFmtId="1" fontId="16" fillId="2" borderId="1" xfId="0" applyNumberFormat="1" applyFont="1" applyFill="1" applyBorder="1" applyAlignment="1">
      <alignment horizontal="left" vertical="top" wrapText="1"/>
    </xf>
    <xf numFmtId="0" fontId="15" fillId="0" borderId="0" xfId="0" applyFont="1" applyAlignment="1">
      <alignment horizontal="center" vertical="top" wrapText="1"/>
    </xf>
    <xf numFmtId="0" fontId="15" fillId="2" borderId="0" xfId="0" applyFont="1" applyFill="1" applyAlignment="1">
      <alignment horizontal="center" vertical="top" wrapText="1"/>
    </xf>
    <xf numFmtId="0" fontId="15" fillId="0" borderId="1" xfId="0" applyFont="1" applyBorder="1" applyAlignment="1">
      <alignment horizontal="center" vertical="top" wrapText="1"/>
    </xf>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4" xfId="0" applyBorder="1" applyAlignment="1">
      <alignment horizontal="left"/>
    </xf>
  </cellXfs>
  <cellStyles count="7">
    <cellStyle name="Normal" xfId="0" builtinId="0"/>
    <cellStyle name="Normal 13" xfId="5"/>
    <cellStyle name="Normal 2" xfId="1"/>
    <cellStyle name="Normal 8 2 2" xfId="6"/>
    <cellStyle name="Style 1" xfId="2"/>
    <cellStyle name="Style 1 2" xfId="4"/>
    <cellStyle name="Style 1 2 2" xfId="3"/>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8</xdr:row>
          <xdr:rowOff>428625</xdr:rowOff>
        </xdr:from>
        <xdr:to>
          <xdr:col>9</xdr:col>
          <xdr:colOff>371475</xdr:colOff>
          <xdr:row>11</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xmlns=""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19050</xdr:colOff>
          <xdr:row>8</xdr:row>
          <xdr:rowOff>428625</xdr:rowOff>
        </xdr:from>
        <xdr:to>
          <xdr:col>9</xdr:col>
          <xdr:colOff>0</xdr:colOff>
          <xdr:row>11</xdr:row>
          <xdr:rowOff>133350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xmlns="" id="{00000000-0008-0000-01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9525</xdr:colOff>
      <xdr:row>19</xdr:row>
      <xdr:rowOff>9525</xdr:rowOff>
    </xdr:from>
    <xdr:to>
      <xdr:col>7</xdr:col>
      <xdr:colOff>752475</xdr:colOff>
      <xdr:row>19</xdr:row>
      <xdr:rowOff>247650</xdr:rowOff>
    </xdr:to>
    <xdr:sp macro="" textlink="">
      <xdr:nvSpPr>
        <xdr:cNvPr id="2" name="Text Box 1">
          <a:extLst>
            <a:ext uri="{FF2B5EF4-FFF2-40B4-BE49-F238E27FC236}">
              <a16:creationId xmlns:a16="http://schemas.microsoft.com/office/drawing/2014/main" xmlns="" id="{7A3B6D06-EBEF-4498-A002-853DCD6BD213}"/>
            </a:ext>
          </a:extLst>
        </xdr:cNvPr>
        <xdr:cNvSpPr txBox="1">
          <a:spLocks noChangeArrowheads="1"/>
        </xdr:cNvSpPr>
      </xdr:nvSpPr>
      <xdr:spPr bwMode="auto">
        <a:xfrm>
          <a:off x="5008245" y="3148965"/>
          <a:ext cx="1482090" cy="23812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en-IN" sz="800" b="0" i="0" u="none" strike="noStrike" baseline="0">
              <a:solidFill>
                <a:srgbClr val="000000"/>
              </a:solidFill>
              <a:latin typeface="Arial"/>
              <a:cs typeface="Arial"/>
            </a:rPr>
            <a:t>Amount</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76200</xdr:colOff>
          <xdr:row>35</xdr:row>
          <xdr:rowOff>9525</xdr:rowOff>
        </xdr:from>
        <xdr:to>
          <xdr:col>6</xdr:col>
          <xdr:colOff>104775</xdr:colOff>
          <xdr:row>37</xdr:row>
          <xdr:rowOff>190500</xdr:rowOff>
        </xdr:to>
        <xdr:sp macro="" textlink="">
          <xdr:nvSpPr>
            <xdr:cNvPr id="6146" name="Button 2" hidden="1">
              <a:extLst>
                <a:ext uri="{63B3BB69-23CF-44E3-9099-C40C66FF867C}">
                  <a14:compatExt spid="_x0000_s6146"/>
                </a:ext>
                <a:ext uri="{FF2B5EF4-FFF2-40B4-BE49-F238E27FC236}">
                  <a16:creationId xmlns:a16="http://schemas.microsoft.com/office/drawing/2014/main" xmlns=""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2:G72"/>
  <sheetViews>
    <sheetView workbookViewId="0">
      <selection activeCell="J22" sqref="J22"/>
    </sheetView>
  </sheetViews>
  <sheetFormatPr defaultColWidth="9.140625" defaultRowHeight="12"/>
  <cols>
    <col min="1" max="1" width="12.28515625" style="7" customWidth="1"/>
    <col min="2" max="2" width="62.42578125" style="8" customWidth="1"/>
    <col min="3" max="3" width="13" style="7" bestFit="1" customWidth="1"/>
    <col min="4" max="4" width="8.7109375" style="7" bestFit="1" customWidth="1"/>
    <col min="5" max="5" width="9" style="7" bestFit="1" customWidth="1"/>
    <col min="6" max="6" width="11" style="7" bestFit="1" customWidth="1"/>
    <col min="7" max="16384" width="9.140625" style="7"/>
  </cols>
  <sheetData>
    <row r="2" spans="1:7" s="2" customFormat="1" ht="15" customHeight="1">
      <c r="A2" s="130" t="s">
        <v>15</v>
      </c>
      <c r="B2" s="130"/>
      <c r="C2" s="130"/>
      <c r="D2" s="130"/>
      <c r="E2" s="130"/>
      <c r="F2" s="130"/>
      <c r="G2" s="1"/>
    </row>
    <row r="3" spans="1:7" s="2" customFormat="1">
      <c r="A3" s="131" t="s">
        <v>19</v>
      </c>
      <c r="B3" s="131"/>
      <c r="C3" s="131"/>
      <c r="D3" s="131"/>
      <c r="E3" s="131"/>
      <c r="F3" s="131"/>
    </row>
    <row r="4" spans="1:7" s="2" customFormat="1">
      <c r="A4" s="16" t="s">
        <v>16</v>
      </c>
      <c r="B4" s="3"/>
      <c r="E4" s="4" t="s">
        <v>153</v>
      </c>
      <c r="F4" s="5"/>
    </row>
    <row r="5" spans="1:7" s="2" customFormat="1">
      <c r="B5" s="3"/>
      <c r="F5" s="5"/>
    </row>
    <row r="6" spans="1:7" s="2" customFormat="1">
      <c r="A6" s="16" t="s">
        <v>83</v>
      </c>
      <c r="B6" s="3"/>
      <c r="E6" s="3"/>
      <c r="F6" s="5"/>
    </row>
    <row r="7" spans="1:7" s="2" customFormat="1">
      <c r="A7" s="16"/>
      <c r="B7" s="69" t="s">
        <v>84</v>
      </c>
      <c r="E7" s="3"/>
      <c r="F7" s="5"/>
    </row>
    <row r="8" spans="1:7" s="2" customFormat="1">
      <c r="A8" s="16" t="s">
        <v>85</v>
      </c>
      <c r="B8" s="69"/>
      <c r="E8" s="3"/>
      <c r="F8" s="5"/>
    </row>
    <row r="9" spans="1:7" s="2" customFormat="1" ht="37.5" customHeight="1">
      <c r="A9" s="16"/>
      <c r="B9" s="69" t="s">
        <v>77</v>
      </c>
      <c r="E9" s="3"/>
      <c r="F9" s="5"/>
    </row>
    <row r="10" spans="1:7" s="2" customFormat="1">
      <c r="A10" s="16" t="s">
        <v>86</v>
      </c>
      <c r="B10" s="3"/>
      <c r="E10" s="71" t="s">
        <v>90</v>
      </c>
      <c r="F10" s="72"/>
      <c r="G10" s="73"/>
    </row>
    <row r="11" spans="1:7" s="2" customFormat="1">
      <c r="A11" s="16" t="s">
        <v>87</v>
      </c>
      <c r="B11" s="3"/>
      <c r="E11" s="71" t="s">
        <v>88</v>
      </c>
      <c r="F11" s="72"/>
      <c r="G11" s="73"/>
    </row>
    <row r="12" spans="1:7" s="2" customFormat="1">
      <c r="A12" s="16" t="s">
        <v>89</v>
      </c>
      <c r="B12" s="3"/>
      <c r="E12" s="71" t="s">
        <v>91</v>
      </c>
      <c r="F12" s="72"/>
      <c r="G12" s="73"/>
    </row>
    <row r="13" spans="1:7" s="2" customFormat="1">
      <c r="A13" s="16" t="s">
        <v>71</v>
      </c>
      <c r="E13" s="74" t="s">
        <v>78</v>
      </c>
      <c r="F13" s="72"/>
      <c r="G13" s="73"/>
    </row>
    <row r="14" spans="1:7" s="2" customFormat="1">
      <c r="A14" s="16" t="s">
        <v>50</v>
      </c>
      <c r="B14" s="3"/>
      <c r="E14" s="75">
        <v>45666</v>
      </c>
      <c r="F14" s="72"/>
      <c r="G14" s="73"/>
    </row>
    <row r="15" spans="1:7" s="2" customFormat="1" ht="15" customHeight="1">
      <c r="A15" s="16" t="s">
        <v>76</v>
      </c>
      <c r="B15" s="3"/>
      <c r="D15" s="6"/>
      <c r="E15" s="76">
        <v>45675</v>
      </c>
      <c r="F15" s="72"/>
      <c r="G15" s="73"/>
    </row>
    <row r="16" spans="1:7" s="2" customFormat="1" ht="15" customHeight="1">
      <c r="A16" s="16" t="s">
        <v>73</v>
      </c>
      <c r="B16" s="3"/>
      <c r="D16" s="6"/>
      <c r="E16" s="76">
        <v>45764</v>
      </c>
      <c r="F16" s="72"/>
      <c r="G16" s="73"/>
    </row>
    <row r="17" spans="1:7" s="2" customFormat="1">
      <c r="A17" s="16" t="s">
        <v>74</v>
      </c>
      <c r="B17" s="3"/>
      <c r="D17" s="6"/>
      <c r="E17" s="76">
        <v>45717</v>
      </c>
      <c r="F17" s="72"/>
      <c r="G17" s="73"/>
    </row>
    <row r="18" spans="1:7" s="2" customFormat="1" ht="15" customHeight="1">
      <c r="A18" s="16" t="s">
        <v>75</v>
      </c>
      <c r="B18" s="3"/>
      <c r="D18" s="6"/>
      <c r="E18" s="76">
        <v>45719</v>
      </c>
      <c r="F18" s="72"/>
      <c r="G18" s="73"/>
    </row>
    <row r="19" spans="1:7" s="2" customFormat="1" ht="15" customHeight="1">
      <c r="A19" s="5" t="s">
        <v>165</v>
      </c>
      <c r="D19" s="6"/>
      <c r="E19" s="77">
        <v>854678</v>
      </c>
      <c r="F19" s="72"/>
      <c r="G19" s="73"/>
    </row>
    <row r="20" spans="1:7">
      <c r="A20" s="7" t="s">
        <v>167</v>
      </c>
      <c r="E20" s="78">
        <v>4</v>
      </c>
      <c r="F20" s="79" t="s">
        <v>168</v>
      </c>
      <c r="G20" s="80" t="s">
        <v>180</v>
      </c>
    </row>
    <row r="21" spans="1:7">
      <c r="A21" s="9" t="s">
        <v>0</v>
      </c>
      <c r="B21" s="9" t="s">
        <v>1</v>
      </c>
      <c r="C21" s="9" t="s">
        <v>2</v>
      </c>
      <c r="D21" s="9" t="s">
        <v>3</v>
      </c>
      <c r="E21" s="42" t="s">
        <v>4</v>
      </c>
      <c r="F21" s="42" t="s">
        <v>5</v>
      </c>
      <c r="G21" s="70" t="s">
        <v>70</v>
      </c>
    </row>
    <row r="22" spans="1:7" ht="144">
      <c r="A22" s="10">
        <v>1</v>
      </c>
      <c r="B22" s="11" t="s">
        <v>20</v>
      </c>
      <c r="C22" s="10"/>
      <c r="D22" s="10"/>
      <c r="E22" s="10"/>
      <c r="F22" s="10" t="str">
        <f>IF(ISBLANK(D22),"",ROUND(D22*E22,0))</f>
        <v/>
      </c>
      <c r="G22" s="12">
        <v>1.5</v>
      </c>
    </row>
    <row r="23" spans="1:7">
      <c r="A23" s="10"/>
      <c r="B23" s="11" t="s">
        <v>9</v>
      </c>
      <c r="C23" s="10" t="s">
        <v>13</v>
      </c>
      <c r="D23" s="10">
        <v>50</v>
      </c>
      <c r="E23" s="10">
        <v>256</v>
      </c>
      <c r="F23" s="10">
        <f t="shared" ref="F23:F56" si="0">IF(ISBLANK(D23),"",ROUND(D23*E23,0))</f>
        <v>12800</v>
      </c>
      <c r="G23" s="12" t="s">
        <v>52</v>
      </c>
    </row>
    <row r="24" spans="1:7">
      <c r="A24" s="10"/>
      <c r="B24" s="11" t="s">
        <v>10</v>
      </c>
      <c r="C24" s="10" t="s">
        <v>13</v>
      </c>
      <c r="D24" s="10">
        <v>50</v>
      </c>
      <c r="E24" s="10">
        <v>472</v>
      </c>
      <c r="F24" s="10">
        <f t="shared" si="0"/>
        <v>23600</v>
      </c>
      <c r="G24" s="12" t="s">
        <v>53</v>
      </c>
    </row>
    <row r="25" spans="1:7">
      <c r="A25" s="10"/>
      <c r="B25" s="11" t="s">
        <v>21</v>
      </c>
      <c r="C25" s="10" t="s">
        <v>13</v>
      </c>
      <c r="D25" s="10">
        <v>50</v>
      </c>
      <c r="E25" s="10">
        <v>662</v>
      </c>
      <c r="F25" s="10">
        <f t="shared" si="0"/>
        <v>33100</v>
      </c>
      <c r="G25" s="12" t="s">
        <v>54</v>
      </c>
    </row>
    <row r="26" spans="1:7" ht="144">
      <c r="A26" s="10">
        <v>2</v>
      </c>
      <c r="B26" s="11" t="s">
        <v>22</v>
      </c>
      <c r="C26" s="10"/>
      <c r="D26" s="10"/>
      <c r="E26" s="10"/>
      <c r="F26" s="10" t="str">
        <f t="shared" si="0"/>
        <v/>
      </c>
      <c r="G26" s="12">
        <v>1.7</v>
      </c>
    </row>
    <row r="27" spans="1:7">
      <c r="A27" s="10"/>
      <c r="B27" s="11" t="s">
        <v>11</v>
      </c>
      <c r="C27" s="10" t="s">
        <v>13</v>
      </c>
      <c r="D27" s="10">
        <v>100</v>
      </c>
      <c r="E27" s="10">
        <v>136</v>
      </c>
      <c r="F27" s="10">
        <f t="shared" si="0"/>
        <v>13600</v>
      </c>
      <c r="G27" s="12" t="s">
        <v>55</v>
      </c>
    </row>
    <row r="28" spans="1:7" ht="72">
      <c r="A28" s="10">
        <v>3</v>
      </c>
      <c r="B28" s="11" t="s">
        <v>23</v>
      </c>
      <c r="C28" s="10" t="s">
        <v>6</v>
      </c>
      <c r="D28" s="10">
        <v>10</v>
      </c>
      <c r="E28" s="10">
        <v>23</v>
      </c>
      <c r="F28" s="10">
        <f t="shared" si="0"/>
        <v>230</v>
      </c>
      <c r="G28" s="12">
        <v>7.1</v>
      </c>
    </row>
    <row r="29" spans="1:7" ht="72">
      <c r="A29" s="10">
        <v>4</v>
      </c>
      <c r="B29" s="11" t="s">
        <v>24</v>
      </c>
      <c r="C29" s="10" t="s">
        <v>6</v>
      </c>
      <c r="D29" s="10">
        <v>30</v>
      </c>
      <c r="E29" s="10">
        <v>50</v>
      </c>
      <c r="F29" s="10">
        <f t="shared" si="0"/>
        <v>1500</v>
      </c>
      <c r="G29" s="12">
        <v>7.2</v>
      </c>
    </row>
    <row r="30" spans="1:7" ht="72">
      <c r="A30" s="10">
        <v>5</v>
      </c>
      <c r="B30" s="11" t="s">
        <v>25</v>
      </c>
      <c r="C30" s="10" t="s">
        <v>6</v>
      </c>
      <c r="D30" s="10">
        <v>10</v>
      </c>
      <c r="E30" s="10">
        <v>33</v>
      </c>
      <c r="F30" s="10">
        <f t="shared" si="0"/>
        <v>330</v>
      </c>
      <c r="G30" s="12" t="s">
        <v>56</v>
      </c>
    </row>
    <row r="31" spans="1:7" ht="72">
      <c r="A31" s="10">
        <v>6</v>
      </c>
      <c r="B31" s="11" t="s">
        <v>26</v>
      </c>
      <c r="C31" s="10" t="s">
        <v>6</v>
      </c>
      <c r="D31" s="10">
        <v>10</v>
      </c>
      <c r="E31" s="10">
        <v>78</v>
      </c>
      <c r="F31" s="10">
        <f t="shared" si="0"/>
        <v>780</v>
      </c>
      <c r="G31" s="12">
        <v>7.11</v>
      </c>
    </row>
    <row r="32" spans="1:7" ht="72">
      <c r="A32" s="10">
        <v>7</v>
      </c>
      <c r="B32" s="11" t="s">
        <v>27</v>
      </c>
      <c r="C32" s="10" t="s">
        <v>6</v>
      </c>
      <c r="D32" s="10">
        <v>10</v>
      </c>
      <c r="E32" s="10">
        <v>30</v>
      </c>
      <c r="F32" s="10">
        <f t="shared" si="0"/>
        <v>300</v>
      </c>
      <c r="G32" s="12">
        <v>7.12</v>
      </c>
    </row>
    <row r="33" spans="1:7" ht="72">
      <c r="A33" s="10">
        <v>8</v>
      </c>
      <c r="B33" s="11" t="s">
        <v>28</v>
      </c>
      <c r="C33" s="10" t="s">
        <v>6</v>
      </c>
      <c r="D33" s="10">
        <v>10</v>
      </c>
      <c r="E33" s="10">
        <v>30</v>
      </c>
      <c r="F33" s="10">
        <f t="shared" si="0"/>
        <v>300</v>
      </c>
      <c r="G33" s="12">
        <v>7.13</v>
      </c>
    </row>
    <row r="34" spans="1:7" ht="72">
      <c r="A34" s="10">
        <v>9</v>
      </c>
      <c r="B34" s="11" t="s">
        <v>29</v>
      </c>
      <c r="C34" s="10" t="s">
        <v>6</v>
      </c>
      <c r="D34" s="10">
        <v>33</v>
      </c>
      <c r="E34" s="10">
        <v>219</v>
      </c>
      <c r="F34" s="10">
        <f t="shared" si="0"/>
        <v>7227</v>
      </c>
      <c r="G34" s="12">
        <v>7.21</v>
      </c>
    </row>
    <row r="35" spans="1:7" ht="96">
      <c r="A35" s="10">
        <v>10</v>
      </c>
      <c r="B35" s="11" t="s">
        <v>30</v>
      </c>
      <c r="C35" s="10" t="s">
        <v>6</v>
      </c>
      <c r="D35" s="10">
        <v>44</v>
      </c>
      <c r="E35" s="10">
        <v>303</v>
      </c>
      <c r="F35" s="10">
        <f t="shared" si="0"/>
        <v>13332</v>
      </c>
      <c r="G35" s="12">
        <v>7.36</v>
      </c>
    </row>
    <row r="36" spans="1:7" ht="90" customHeight="1">
      <c r="A36" s="10">
        <v>11</v>
      </c>
      <c r="B36" s="11" t="s">
        <v>31</v>
      </c>
      <c r="C36" s="10"/>
      <c r="D36" s="10"/>
      <c r="E36" s="10"/>
      <c r="F36" s="10" t="str">
        <f t="shared" si="0"/>
        <v/>
      </c>
      <c r="G36" s="12">
        <v>1.4</v>
      </c>
    </row>
    <row r="37" spans="1:7">
      <c r="A37" s="10"/>
      <c r="B37" s="11" t="s">
        <v>8</v>
      </c>
      <c r="C37" s="10" t="s">
        <v>32</v>
      </c>
      <c r="D37" s="10">
        <v>300</v>
      </c>
      <c r="E37" s="10">
        <v>40</v>
      </c>
      <c r="F37" s="10">
        <f t="shared" si="0"/>
        <v>12000</v>
      </c>
      <c r="G37" s="12" t="s">
        <v>57</v>
      </c>
    </row>
    <row r="38" spans="1:7">
      <c r="A38" s="10"/>
      <c r="B38" s="11" t="s">
        <v>12</v>
      </c>
      <c r="C38" s="10" t="s">
        <v>32</v>
      </c>
      <c r="D38" s="10">
        <v>100</v>
      </c>
      <c r="E38" s="10">
        <v>56</v>
      </c>
      <c r="F38" s="10">
        <f t="shared" si="0"/>
        <v>5600</v>
      </c>
      <c r="G38" s="12" t="s">
        <v>58</v>
      </c>
    </row>
    <row r="39" spans="1:7" ht="132">
      <c r="A39" s="10">
        <v>12</v>
      </c>
      <c r="B39" s="11" t="s">
        <v>51</v>
      </c>
      <c r="C39" s="10"/>
      <c r="D39" s="10"/>
      <c r="E39" s="10"/>
      <c r="F39" s="10" t="str">
        <f t="shared" si="0"/>
        <v/>
      </c>
      <c r="G39" s="12">
        <v>4.0999999999999996</v>
      </c>
    </row>
    <row r="40" spans="1:7">
      <c r="A40" s="10"/>
      <c r="B40" s="11" t="s">
        <v>33</v>
      </c>
      <c r="C40" s="10" t="s">
        <v>7</v>
      </c>
      <c r="D40" s="10">
        <v>900</v>
      </c>
      <c r="E40" s="10">
        <v>81</v>
      </c>
      <c r="F40" s="10">
        <f t="shared" si="0"/>
        <v>72900</v>
      </c>
      <c r="G40" s="12" t="s">
        <v>59</v>
      </c>
    </row>
    <row r="41" spans="1:7">
      <c r="A41" s="10"/>
      <c r="B41" s="11" t="s">
        <v>34</v>
      </c>
      <c r="C41" s="10" t="s">
        <v>7</v>
      </c>
      <c r="D41" s="10">
        <v>180</v>
      </c>
      <c r="E41" s="10">
        <v>122</v>
      </c>
      <c r="F41" s="10">
        <f t="shared" si="0"/>
        <v>21960</v>
      </c>
      <c r="G41" s="12" t="s">
        <v>60</v>
      </c>
    </row>
    <row r="42" spans="1:7" ht="144">
      <c r="A42" s="10">
        <v>13</v>
      </c>
      <c r="B42" s="11" t="s">
        <v>35</v>
      </c>
      <c r="C42" s="10" t="s">
        <v>14</v>
      </c>
      <c r="D42" s="10">
        <v>4</v>
      </c>
      <c r="E42" s="10">
        <v>5733</v>
      </c>
      <c r="F42" s="10">
        <f t="shared" si="0"/>
        <v>22932</v>
      </c>
      <c r="G42" s="12">
        <v>14.2</v>
      </c>
    </row>
    <row r="43" spans="1:7" ht="60">
      <c r="A43" s="10">
        <v>14</v>
      </c>
      <c r="B43" s="11" t="s">
        <v>36</v>
      </c>
      <c r="C43" s="10"/>
      <c r="D43" s="10"/>
      <c r="E43" s="10"/>
      <c r="F43" s="10" t="str">
        <f t="shared" si="0"/>
        <v/>
      </c>
      <c r="G43" s="12">
        <v>14.6</v>
      </c>
    </row>
    <row r="44" spans="1:7">
      <c r="A44" s="10"/>
      <c r="B44" s="11" t="s">
        <v>37</v>
      </c>
      <c r="C44" s="10" t="s">
        <v>7</v>
      </c>
      <c r="D44" s="10">
        <v>100</v>
      </c>
      <c r="E44" s="10">
        <v>20</v>
      </c>
      <c r="F44" s="10">
        <f t="shared" si="0"/>
        <v>2000</v>
      </c>
      <c r="G44" s="12" t="s">
        <v>61</v>
      </c>
    </row>
    <row r="45" spans="1:7" ht="108">
      <c r="A45" s="10">
        <v>15</v>
      </c>
      <c r="B45" s="11" t="s">
        <v>38</v>
      </c>
      <c r="C45" s="10"/>
      <c r="D45" s="10"/>
      <c r="E45" s="10"/>
      <c r="F45" s="10" t="str">
        <f t="shared" si="0"/>
        <v/>
      </c>
      <c r="G45" s="12">
        <v>15.7</v>
      </c>
    </row>
    <row r="46" spans="1:7">
      <c r="A46" s="10"/>
      <c r="B46" s="11" t="s">
        <v>39</v>
      </c>
      <c r="C46" s="10" t="s">
        <v>6</v>
      </c>
      <c r="D46" s="10">
        <v>10</v>
      </c>
      <c r="E46" s="10">
        <v>1890</v>
      </c>
      <c r="F46" s="10">
        <f t="shared" si="0"/>
        <v>18900</v>
      </c>
      <c r="G46" s="12" t="s">
        <v>62</v>
      </c>
    </row>
    <row r="47" spans="1:7" ht="168">
      <c r="A47" s="10">
        <v>16</v>
      </c>
      <c r="B47" s="11" t="s">
        <v>40</v>
      </c>
      <c r="C47" s="10"/>
      <c r="D47" s="10"/>
      <c r="E47" s="10"/>
      <c r="F47" s="10" t="str">
        <f t="shared" si="0"/>
        <v/>
      </c>
      <c r="G47" s="12">
        <v>17.100000000000001</v>
      </c>
    </row>
    <row r="48" spans="1:7">
      <c r="A48" s="10"/>
      <c r="B48" s="11" t="s">
        <v>41</v>
      </c>
      <c r="C48" s="10" t="s">
        <v>6</v>
      </c>
      <c r="D48" s="10">
        <v>80</v>
      </c>
      <c r="E48" s="10">
        <v>492</v>
      </c>
      <c r="F48" s="10">
        <f t="shared" si="0"/>
        <v>39360</v>
      </c>
      <c r="G48" s="12" t="s">
        <v>63</v>
      </c>
    </row>
    <row r="49" spans="1:7" ht="156">
      <c r="A49" s="10">
        <v>17</v>
      </c>
      <c r="B49" s="11" t="s">
        <v>42</v>
      </c>
      <c r="C49" s="10"/>
      <c r="D49" s="10"/>
      <c r="E49" s="10"/>
      <c r="F49" s="10" t="str">
        <f t="shared" si="0"/>
        <v/>
      </c>
      <c r="G49" s="12">
        <v>6.1</v>
      </c>
    </row>
    <row r="50" spans="1:7">
      <c r="A50" s="10"/>
      <c r="B50" s="11" t="s">
        <v>43</v>
      </c>
      <c r="C50" s="10"/>
      <c r="D50" s="10"/>
      <c r="E50" s="10"/>
      <c r="F50" s="10" t="str">
        <f t="shared" si="0"/>
        <v/>
      </c>
      <c r="G50" s="12" t="s">
        <v>64</v>
      </c>
    </row>
    <row r="51" spans="1:7">
      <c r="A51" s="10"/>
      <c r="B51" s="11" t="s">
        <v>44</v>
      </c>
      <c r="C51" s="10" t="s">
        <v>6</v>
      </c>
      <c r="D51" s="10">
        <v>50</v>
      </c>
      <c r="E51" s="10">
        <v>187</v>
      </c>
      <c r="F51" s="10">
        <f t="shared" si="0"/>
        <v>9350</v>
      </c>
      <c r="G51" s="12" t="s">
        <v>65</v>
      </c>
    </row>
    <row r="52" spans="1:7">
      <c r="A52" s="10"/>
      <c r="B52" s="11" t="s">
        <v>45</v>
      </c>
      <c r="C52" s="10"/>
      <c r="D52" s="10"/>
      <c r="E52" s="10"/>
      <c r="F52" s="10" t="str">
        <f t="shared" si="0"/>
        <v/>
      </c>
      <c r="G52" s="12" t="s">
        <v>66</v>
      </c>
    </row>
    <row r="53" spans="1:7">
      <c r="A53" s="10"/>
      <c r="B53" s="11" t="s">
        <v>46</v>
      </c>
      <c r="C53" s="10" t="s">
        <v>6</v>
      </c>
      <c r="D53" s="10">
        <v>10</v>
      </c>
      <c r="E53" s="10">
        <v>900</v>
      </c>
      <c r="F53" s="10">
        <f t="shared" si="0"/>
        <v>9000</v>
      </c>
      <c r="G53" s="12" t="s">
        <v>67</v>
      </c>
    </row>
    <row r="54" spans="1:7" ht="144">
      <c r="A54" s="10">
        <v>18</v>
      </c>
      <c r="B54" s="11" t="s">
        <v>47</v>
      </c>
      <c r="C54" s="10"/>
      <c r="D54" s="10"/>
      <c r="E54" s="10"/>
      <c r="F54" s="10" t="str">
        <f t="shared" si="0"/>
        <v/>
      </c>
      <c r="G54" s="12">
        <v>6.1</v>
      </c>
    </row>
    <row r="55" spans="1:7">
      <c r="A55" s="10"/>
      <c r="B55" s="11" t="s">
        <v>48</v>
      </c>
      <c r="C55" s="10"/>
      <c r="D55" s="10"/>
      <c r="E55" s="10"/>
      <c r="F55" s="10" t="str">
        <f t="shared" si="0"/>
        <v/>
      </c>
      <c r="G55" s="12" t="s">
        <v>68</v>
      </c>
    </row>
    <row r="56" spans="1:7">
      <c r="A56" s="10"/>
      <c r="B56" s="11" t="s">
        <v>49</v>
      </c>
      <c r="C56" s="10" t="s">
        <v>6</v>
      </c>
      <c r="D56" s="10">
        <v>8</v>
      </c>
      <c r="E56" s="10">
        <v>2184</v>
      </c>
      <c r="F56" s="10">
        <f t="shared" si="0"/>
        <v>17472</v>
      </c>
      <c r="G56" s="12" t="s">
        <v>69</v>
      </c>
    </row>
    <row r="57" spans="1:7">
      <c r="G57" s="8"/>
    </row>
    <row r="58" spans="1:7">
      <c r="G58" s="8"/>
    </row>
    <row r="59" spans="1:7">
      <c r="G59" s="8"/>
    </row>
    <row r="60" spans="1:7">
      <c r="G60" s="8"/>
    </row>
    <row r="61" spans="1:7">
      <c r="G61" s="8"/>
    </row>
    <row r="62" spans="1:7">
      <c r="G62" s="8"/>
    </row>
    <row r="63" spans="1:7">
      <c r="G63" s="8"/>
    </row>
    <row r="64" spans="1:7">
      <c r="G64" s="8"/>
    </row>
    <row r="65" spans="7:7">
      <c r="G65" s="8"/>
    </row>
    <row r="66" spans="7:7">
      <c r="G66" s="8"/>
    </row>
    <row r="67" spans="7:7">
      <c r="G67" s="8"/>
    </row>
    <row r="68" spans="7:7">
      <c r="G68" s="8"/>
    </row>
    <row r="69" spans="7:7">
      <c r="G69" s="8"/>
    </row>
    <row r="70" spans="7:7">
      <c r="G70" s="8"/>
    </row>
    <row r="71" spans="7:7">
      <c r="G71" s="8"/>
    </row>
    <row r="72" spans="7:7">
      <c r="G72" s="8"/>
    </row>
  </sheetData>
  <mergeCells count="2">
    <mergeCell ref="A2:F2"/>
    <mergeCell ref="A3:F3"/>
  </mergeCells>
  <pageMargins left="0.70866141732283472" right="0.70866141732283472" top="0.74803149606299213" bottom="0.74803149606299213" header="0.31496062992125984" footer="0.31496062992125984"/>
  <pageSetup paperSize="9" scale="69" fitToHeight="9" orientation="portrait" r:id="rId1"/>
  <headerFooter>
    <oddFooter>&amp;CAgrement No.-54&amp;R&amp;P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ProcessBillWorksheet02April2025">
                <anchor moveWithCells="1" sizeWithCells="1">
                  <from>
                    <xdr:col>8</xdr:col>
                    <xdr:colOff>19050</xdr:colOff>
                    <xdr:row>8</xdr:row>
                    <xdr:rowOff>428625</xdr:rowOff>
                  </from>
                  <to>
                    <xdr:col>9</xdr:col>
                    <xdr:colOff>371475</xdr:colOff>
                    <xdr:row>11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2:G82"/>
  <sheetViews>
    <sheetView workbookViewId="0">
      <selection activeCell="B22" sqref="B22"/>
    </sheetView>
  </sheetViews>
  <sheetFormatPr defaultColWidth="9.140625" defaultRowHeight="12"/>
  <cols>
    <col min="1" max="1" width="12.28515625" style="7" customWidth="1"/>
    <col min="2" max="2" width="62.42578125" style="8" customWidth="1"/>
    <col min="3" max="3" width="13" style="7" bestFit="1" customWidth="1"/>
    <col min="4" max="4" width="8.7109375" style="7" bestFit="1" customWidth="1"/>
    <col min="5" max="5" width="9" style="7" bestFit="1" customWidth="1"/>
    <col min="6" max="6" width="11" style="7" bestFit="1" customWidth="1"/>
    <col min="7" max="16384" width="9.140625" style="7"/>
  </cols>
  <sheetData>
    <row r="2" spans="1:7" s="2" customFormat="1" ht="15" customHeight="1">
      <c r="A2" s="130" t="s">
        <v>15</v>
      </c>
      <c r="B2" s="130"/>
      <c r="C2" s="130"/>
      <c r="D2" s="130"/>
      <c r="E2" s="130"/>
      <c r="F2" s="130"/>
      <c r="G2" s="1"/>
    </row>
    <row r="3" spans="1:7" s="2" customFormat="1">
      <c r="A3" s="131" t="s">
        <v>19</v>
      </c>
      <c r="B3" s="131"/>
      <c r="C3" s="131"/>
      <c r="D3" s="131"/>
      <c r="E3" s="131"/>
      <c r="F3" s="131"/>
    </row>
    <row r="4" spans="1:7" s="2" customFormat="1">
      <c r="A4" s="16" t="s">
        <v>16</v>
      </c>
      <c r="B4" s="3"/>
      <c r="E4" s="4" t="s">
        <v>153</v>
      </c>
      <c r="F4" s="5"/>
    </row>
    <row r="5" spans="1:7" s="2" customFormat="1">
      <c r="B5" s="3"/>
      <c r="F5" s="5"/>
    </row>
    <row r="6" spans="1:7" s="2" customFormat="1">
      <c r="A6" s="16" t="s">
        <v>83</v>
      </c>
      <c r="B6" s="3"/>
      <c r="E6" s="3"/>
      <c r="F6" s="5"/>
    </row>
    <row r="7" spans="1:7" s="2" customFormat="1">
      <c r="A7" s="16"/>
      <c r="B7" s="3" t="s">
        <v>84</v>
      </c>
      <c r="E7" s="3"/>
      <c r="F7" s="5"/>
    </row>
    <row r="8" spans="1:7" s="2" customFormat="1">
      <c r="A8" s="16" t="s">
        <v>85</v>
      </c>
      <c r="B8" s="3"/>
      <c r="E8" s="3"/>
      <c r="F8" s="5"/>
    </row>
    <row r="9" spans="1:7" s="2" customFormat="1" ht="37.5" customHeight="1">
      <c r="A9" s="16"/>
      <c r="B9" s="3" t="s">
        <v>77</v>
      </c>
      <c r="E9" s="3"/>
      <c r="F9" s="5"/>
    </row>
    <row r="10" spans="1:7" s="2" customFormat="1">
      <c r="A10" s="16" t="s">
        <v>86</v>
      </c>
      <c r="B10" s="3"/>
      <c r="E10" s="34" t="s">
        <v>90</v>
      </c>
      <c r="F10" s="5"/>
    </row>
    <row r="11" spans="1:7" s="2" customFormat="1">
      <c r="A11" s="16" t="s">
        <v>87</v>
      </c>
      <c r="B11" s="3"/>
      <c r="E11" s="34" t="s">
        <v>88</v>
      </c>
      <c r="F11" s="5"/>
    </row>
    <row r="12" spans="1:7" s="2" customFormat="1">
      <c r="A12" s="16" t="s">
        <v>89</v>
      </c>
      <c r="B12" s="3"/>
      <c r="E12" s="34" t="s">
        <v>91</v>
      </c>
      <c r="F12" s="5"/>
    </row>
    <row r="13" spans="1:7" s="2" customFormat="1">
      <c r="A13" s="16" t="s">
        <v>71</v>
      </c>
      <c r="E13" s="16" t="s">
        <v>78</v>
      </c>
      <c r="F13" s="5"/>
    </row>
    <row r="14" spans="1:7" s="2" customFormat="1">
      <c r="A14" s="16" t="s">
        <v>50</v>
      </c>
      <c r="B14" s="3"/>
      <c r="E14" s="35">
        <v>45666</v>
      </c>
      <c r="F14" s="5"/>
    </row>
    <row r="15" spans="1:7" s="2" customFormat="1" ht="15" customHeight="1">
      <c r="A15" s="16" t="s">
        <v>76</v>
      </c>
      <c r="B15" s="3"/>
      <c r="D15" s="6"/>
      <c r="E15" s="36">
        <v>45675</v>
      </c>
      <c r="F15" s="5"/>
    </row>
    <row r="16" spans="1:7" s="2" customFormat="1" ht="15" customHeight="1">
      <c r="A16" s="16" t="s">
        <v>73</v>
      </c>
      <c r="B16" s="3"/>
      <c r="D16" s="6"/>
      <c r="E16" s="36">
        <v>45764</v>
      </c>
      <c r="F16" s="5"/>
    </row>
    <row r="17" spans="1:7" s="2" customFormat="1">
      <c r="A17" s="16" t="s">
        <v>74</v>
      </c>
      <c r="B17" s="3"/>
      <c r="D17" s="6"/>
      <c r="E17" s="36">
        <v>45717</v>
      </c>
      <c r="F17" s="5"/>
    </row>
    <row r="18" spans="1:7" s="2" customFormat="1" ht="15" customHeight="1">
      <c r="A18" s="16" t="s">
        <v>75</v>
      </c>
      <c r="B18" s="3"/>
      <c r="D18" s="6"/>
      <c r="E18" s="36">
        <v>45719</v>
      </c>
      <c r="F18" s="5"/>
    </row>
    <row r="19" spans="1:7" s="2" customFormat="1" ht="15" customHeight="1" thickBot="1">
      <c r="A19" s="5" t="s">
        <v>165</v>
      </c>
      <c r="D19" s="6"/>
      <c r="E19" s="41">
        <v>854678</v>
      </c>
      <c r="F19" s="5"/>
    </row>
    <row r="20" spans="1:7" ht="12.75" thickBot="1">
      <c r="A20" s="7" t="s">
        <v>167</v>
      </c>
      <c r="E20" s="43">
        <v>5</v>
      </c>
      <c r="F20" s="44" t="s">
        <v>168</v>
      </c>
      <c r="G20" s="45" t="s">
        <v>166</v>
      </c>
    </row>
    <row r="21" spans="1:7">
      <c r="A21" s="9" t="s">
        <v>0</v>
      </c>
      <c r="B21" s="9" t="s">
        <v>1</v>
      </c>
      <c r="C21" s="9" t="s">
        <v>2</v>
      </c>
      <c r="D21" s="9" t="s">
        <v>3</v>
      </c>
      <c r="E21" s="42" t="s">
        <v>4</v>
      </c>
      <c r="F21" s="9" t="s">
        <v>5</v>
      </c>
      <c r="G21" s="10" t="s">
        <v>70</v>
      </c>
    </row>
    <row r="22" spans="1:7" ht="144">
      <c r="A22" s="10">
        <v>1</v>
      </c>
      <c r="B22" s="11" t="s">
        <v>20</v>
      </c>
      <c r="C22" s="10"/>
      <c r="D22" s="10"/>
      <c r="E22" s="10"/>
      <c r="F22" s="10" t="str">
        <f>IF(ISBLANK(D22),"",ROUND(D22*E22,0))</f>
        <v/>
      </c>
      <c r="G22" s="12">
        <v>1.5</v>
      </c>
    </row>
    <row r="23" spans="1:7">
      <c r="A23" s="10"/>
      <c r="B23" s="11" t="s">
        <v>9</v>
      </c>
      <c r="C23" s="10" t="s">
        <v>13</v>
      </c>
      <c r="D23" s="10">
        <v>52</v>
      </c>
      <c r="E23" s="10">
        <v>256</v>
      </c>
      <c r="F23" s="10">
        <f t="shared" ref="F23:F56" si="0">IF(ISBLANK(D23),"",ROUND(D23*E23,0))</f>
        <v>13312</v>
      </c>
      <c r="G23" s="12" t="s">
        <v>52</v>
      </c>
    </row>
    <row r="24" spans="1:7">
      <c r="A24" s="10"/>
      <c r="B24" s="11" t="s">
        <v>10</v>
      </c>
      <c r="C24" s="10" t="s">
        <v>13</v>
      </c>
      <c r="D24" s="10">
        <v>48</v>
      </c>
      <c r="E24" s="10">
        <v>472</v>
      </c>
      <c r="F24" s="10">
        <f t="shared" si="0"/>
        <v>22656</v>
      </c>
      <c r="G24" s="12" t="s">
        <v>53</v>
      </c>
    </row>
    <row r="25" spans="1:7">
      <c r="A25" s="10"/>
      <c r="B25" s="11" t="s">
        <v>21</v>
      </c>
      <c r="C25" s="10" t="s">
        <v>13</v>
      </c>
      <c r="D25" s="10">
        <v>52</v>
      </c>
      <c r="E25" s="10">
        <v>662</v>
      </c>
      <c r="F25" s="10">
        <f t="shared" si="0"/>
        <v>34424</v>
      </c>
      <c r="G25" s="12" t="s">
        <v>54</v>
      </c>
    </row>
    <row r="26" spans="1:7" ht="144">
      <c r="A26" s="10">
        <v>2</v>
      </c>
      <c r="B26" s="11" t="s">
        <v>22</v>
      </c>
      <c r="C26" s="10"/>
      <c r="D26" s="10" t="s">
        <v>93</v>
      </c>
      <c r="E26" s="10"/>
      <c r="F26" s="10" t="e">
        <f t="shared" si="0"/>
        <v>#VALUE!</v>
      </c>
      <c r="G26" s="12">
        <v>1.7</v>
      </c>
    </row>
    <row r="27" spans="1:7">
      <c r="A27" s="10"/>
      <c r="B27" s="11" t="s">
        <v>11</v>
      </c>
      <c r="C27" s="10" t="s">
        <v>13</v>
      </c>
      <c r="D27" s="10">
        <v>102</v>
      </c>
      <c r="E27" s="10">
        <v>136</v>
      </c>
      <c r="F27" s="10">
        <f t="shared" si="0"/>
        <v>13872</v>
      </c>
      <c r="G27" s="12" t="s">
        <v>55</v>
      </c>
    </row>
    <row r="28" spans="1:7" ht="72">
      <c r="A28" s="10">
        <v>3</v>
      </c>
      <c r="B28" s="11" t="s">
        <v>23</v>
      </c>
      <c r="C28" s="10" t="s">
        <v>6</v>
      </c>
      <c r="D28" s="10">
        <v>8</v>
      </c>
      <c r="E28" s="10">
        <v>23</v>
      </c>
      <c r="F28" s="10">
        <f t="shared" si="0"/>
        <v>184</v>
      </c>
      <c r="G28" s="12">
        <v>7.1</v>
      </c>
    </row>
    <row r="29" spans="1:7" ht="72">
      <c r="A29" s="10">
        <v>4</v>
      </c>
      <c r="B29" s="11" t="s">
        <v>24</v>
      </c>
      <c r="C29" s="10" t="s">
        <v>6</v>
      </c>
      <c r="D29" s="10">
        <v>32</v>
      </c>
      <c r="E29" s="10">
        <v>50</v>
      </c>
      <c r="F29" s="10">
        <f t="shared" si="0"/>
        <v>1600</v>
      </c>
      <c r="G29" s="12">
        <v>7.2</v>
      </c>
    </row>
    <row r="30" spans="1:7" ht="72">
      <c r="A30" s="10">
        <v>5</v>
      </c>
      <c r="B30" s="11" t="s">
        <v>25</v>
      </c>
      <c r="C30" s="10" t="s">
        <v>6</v>
      </c>
      <c r="D30" s="10">
        <v>22</v>
      </c>
      <c r="E30" s="10">
        <v>33</v>
      </c>
      <c r="F30" s="10">
        <f t="shared" si="0"/>
        <v>726</v>
      </c>
      <c r="G30" s="12" t="s">
        <v>56</v>
      </c>
    </row>
    <row r="31" spans="1:7" ht="72">
      <c r="A31" s="10">
        <v>6</v>
      </c>
      <c r="B31" s="11" t="s">
        <v>26</v>
      </c>
      <c r="C31" s="10" t="s">
        <v>6</v>
      </c>
      <c r="D31" s="10">
        <v>36</v>
      </c>
      <c r="E31" s="10">
        <v>78</v>
      </c>
      <c r="F31" s="10">
        <f t="shared" si="0"/>
        <v>2808</v>
      </c>
      <c r="G31" s="12">
        <v>7.11</v>
      </c>
    </row>
    <row r="32" spans="1:7" ht="72">
      <c r="A32" s="10">
        <v>7</v>
      </c>
      <c r="B32" s="11" t="s">
        <v>27</v>
      </c>
      <c r="C32" s="10" t="s">
        <v>6</v>
      </c>
      <c r="D32" s="10">
        <v>12</v>
      </c>
      <c r="E32" s="10">
        <v>30</v>
      </c>
      <c r="F32" s="10">
        <f t="shared" si="0"/>
        <v>360</v>
      </c>
      <c r="G32" s="12">
        <v>7.12</v>
      </c>
    </row>
    <row r="33" spans="1:7" ht="72">
      <c r="A33" s="10">
        <v>8</v>
      </c>
      <c r="B33" s="11" t="s">
        <v>28</v>
      </c>
      <c r="C33" s="10" t="s">
        <v>6</v>
      </c>
      <c r="D33" s="10">
        <v>8</v>
      </c>
      <c r="E33" s="10">
        <v>30</v>
      </c>
      <c r="F33" s="10">
        <f t="shared" si="0"/>
        <v>240</v>
      </c>
      <c r="G33" s="12">
        <v>7.13</v>
      </c>
    </row>
    <row r="34" spans="1:7" ht="72">
      <c r="A34" s="10">
        <v>9</v>
      </c>
      <c r="B34" s="11" t="s">
        <v>29</v>
      </c>
      <c r="C34" s="10" t="s">
        <v>6</v>
      </c>
      <c r="D34" s="10"/>
      <c r="E34" s="10">
        <v>219</v>
      </c>
      <c r="F34" s="10" t="str">
        <f t="shared" si="0"/>
        <v/>
      </c>
      <c r="G34" s="12">
        <v>7.21</v>
      </c>
    </row>
    <row r="35" spans="1:7" ht="96">
      <c r="A35" s="10">
        <v>10</v>
      </c>
      <c r="B35" s="11" t="s">
        <v>30</v>
      </c>
      <c r="C35" s="10" t="s">
        <v>6</v>
      </c>
      <c r="D35" s="10"/>
      <c r="E35" s="10">
        <v>303</v>
      </c>
      <c r="F35" s="10" t="str">
        <f t="shared" si="0"/>
        <v/>
      </c>
      <c r="G35" s="12">
        <v>7.36</v>
      </c>
    </row>
    <row r="36" spans="1:7" ht="90" customHeight="1">
      <c r="A36" s="10">
        <v>11</v>
      </c>
      <c r="B36" s="11" t="s">
        <v>31</v>
      </c>
      <c r="C36" s="10"/>
      <c r="D36" s="10"/>
      <c r="E36" s="10"/>
      <c r="F36" s="10" t="str">
        <f t="shared" si="0"/>
        <v/>
      </c>
      <c r="G36" s="12">
        <v>1.4</v>
      </c>
    </row>
    <row r="37" spans="1:7">
      <c r="A37" s="10"/>
      <c r="B37" s="11" t="s">
        <v>8</v>
      </c>
      <c r="C37" s="10" t="s">
        <v>32</v>
      </c>
      <c r="D37" s="10">
        <v>2985</v>
      </c>
      <c r="E37" s="10">
        <v>40</v>
      </c>
      <c r="F37" s="10">
        <f t="shared" si="0"/>
        <v>119400</v>
      </c>
      <c r="G37" s="12" t="s">
        <v>57</v>
      </c>
    </row>
    <row r="38" spans="1:7">
      <c r="A38" s="10"/>
      <c r="B38" s="11" t="s">
        <v>12</v>
      </c>
      <c r="C38" s="10" t="s">
        <v>32</v>
      </c>
      <c r="D38" s="10"/>
      <c r="E38" s="10">
        <v>56</v>
      </c>
      <c r="F38" s="10" t="str">
        <f t="shared" si="0"/>
        <v/>
      </c>
      <c r="G38" s="12" t="s">
        <v>58</v>
      </c>
    </row>
    <row r="39" spans="1:7" ht="132">
      <c r="A39" s="10">
        <v>12</v>
      </c>
      <c r="B39" s="11" t="s">
        <v>51</v>
      </c>
      <c r="C39" s="10"/>
      <c r="D39" s="10"/>
      <c r="E39" s="10"/>
      <c r="F39" s="10" t="str">
        <f t="shared" si="0"/>
        <v/>
      </c>
      <c r="G39" s="12">
        <v>4.0999999999999996</v>
      </c>
    </row>
    <row r="40" spans="1:7">
      <c r="A40" s="10"/>
      <c r="B40" s="11" t="s">
        <v>33</v>
      </c>
      <c r="C40" s="10" t="s">
        <v>7</v>
      </c>
      <c r="D40" s="10">
        <v>9000</v>
      </c>
      <c r="E40" s="10">
        <v>81</v>
      </c>
      <c r="F40" s="10">
        <f t="shared" si="0"/>
        <v>729000</v>
      </c>
      <c r="G40" s="12" t="s">
        <v>59</v>
      </c>
    </row>
    <row r="41" spans="1:7">
      <c r="A41" s="10"/>
      <c r="B41" s="11" t="s">
        <v>34</v>
      </c>
      <c r="C41" s="10" t="s">
        <v>7</v>
      </c>
      <c r="D41" s="10"/>
      <c r="E41" s="10">
        <v>2</v>
      </c>
      <c r="F41" s="10" t="str">
        <f t="shared" si="0"/>
        <v/>
      </c>
      <c r="G41" s="12" t="s">
        <v>60</v>
      </c>
    </row>
    <row r="42" spans="1:7" ht="144">
      <c r="A42" s="10">
        <v>13</v>
      </c>
      <c r="B42" s="11" t="s">
        <v>35</v>
      </c>
      <c r="C42" s="10" t="s">
        <v>14</v>
      </c>
      <c r="D42" s="10"/>
      <c r="E42" s="10">
        <v>5</v>
      </c>
      <c r="F42" s="10" t="str">
        <f t="shared" si="0"/>
        <v/>
      </c>
      <c r="G42" s="12">
        <v>14.2</v>
      </c>
    </row>
    <row r="43" spans="1:7" ht="60">
      <c r="A43" s="10">
        <v>14</v>
      </c>
      <c r="B43" s="11" t="s">
        <v>36</v>
      </c>
      <c r="C43" s="10"/>
      <c r="D43" s="10" t="s">
        <v>93</v>
      </c>
      <c r="E43" s="10"/>
      <c r="F43" s="10"/>
      <c r="G43" s="12">
        <v>14.6</v>
      </c>
    </row>
    <row r="44" spans="1:7">
      <c r="A44" s="10"/>
      <c r="B44" s="11" t="s">
        <v>37</v>
      </c>
      <c r="C44" s="10" t="s">
        <v>7</v>
      </c>
      <c r="D44" s="10">
        <v>35</v>
      </c>
      <c r="E44" s="10">
        <v>20</v>
      </c>
      <c r="F44" s="10">
        <f t="shared" si="0"/>
        <v>700</v>
      </c>
      <c r="G44" s="12" t="s">
        <v>61</v>
      </c>
    </row>
    <row r="45" spans="1:7" ht="108">
      <c r="A45" s="10">
        <v>15</v>
      </c>
      <c r="B45" s="11" t="s">
        <v>38</v>
      </c>
      <c r="C45" s="10"/>
      <c r="D45" s="10" t="s">
        <v>93</v>
      </c>
      <c r="E45" s="10"/>
      <c r="F45" s="10" t="e">
        <f t="shared" si="0"/>
        <v>#VALUE!</v>
      </c>
      <c r="G45" s="12">
        <v>15.7</v>
      </c>
    </row>
    <row r="46" spans="1:7">
      <c r="A46" s="10"/>
      <c r="B46" s="11" t="s">
        <v>39</v>
      </c>
      <c r="C46" s="10" t="s">
        <v>6</v>
      </c>
      <c r="D46" s="10">
        <v>12</v>
      </c>
      <c r="E46" s="10">
        <v>1890</v>
      </c>
      <c r="F46" s="10">
        <f t="shared" si="0"/>
        <v>22680</v>
      </c>
      <c r="G46" s="12" t="s">
        <v>62</v>
      </c>
    </row>
    <row r="47" spans="1:7" ht="168">
      <c r="A47" s="10">
        <v>16</v>
      </c>
      <c r="B47" s="11" t="s">
        <v>40</v>
      </c>
      <c r="C47" s="10"/>
      <c r="D47" s="10" t="s">
        <v>93</v>
      </c>
      <c r="E47" s="10"/>
      <c r="F47" s="10" t="e">
        <f t="shared" si="0"/>
        <v>#VALUE!</v>
      </c>
      <c r="G47" s="12">
        <v>17.100000000000001</v>
      </c>
    </row>
    <row r="48" spans="1:7">
      <c r="A48" s="10"/>
      <c r="B48" s="11" t="s">
        <v>41</v>
      </c>
      <c r="C48" s="10" t="s">
        <v>6</v>
      </c>
      <c r="D48" s="10">
        <v>78</v>
      </c>
      <c r="E48" s="10">
        <v>12</v>
      </c>
      <c r="F48" s="10">
        <f t="shared" si="0"/>
        <v>936</v>
      </c>
      <c r="G48" s="12" t="s">
        <v>63</v>
      </c>
    </row>
    <row r="49" spans="1:7" ht="156">
      <c r="A49" s="10">
        <v>17</v>
      </c>
      <c r="B49" s="11" t="s">
        <v>42</v>
      </c>
      <c r="C49" s="10"/>
      <c r="D49" s="10"/>
      <c r="E49" s="10"/>
      <c r="F49" s="10" t="str">
        <f t="shared" si="0"/>
        <v/>
      </c>
      <c r="G49" s="12">
        <v>6.1</v>
      </c>
    </row>
    <row r="50" spans="1:7">
      <c r="A50" s="10"/>
      <c r="B50" s="11" t="s">
        <v>43</v>
      </c>
      <c r="C50" s="10"/>
      <c r="D50" s="10"/>
      <c r="E50" s="10"/>
      <c r="F50" s="10" t="str">
        <f t="shared" si="0"/>
        <v/>
      </c>
      <c r="G50" s="12" t="s">
        <v>64</v>
      </c>
    </row>
    <row r="51" spans="1:7">
      <c r="A51" s="10"/>
      <c r="B51" s="11" t="s">
        <v>44</v>
      </c>
      <c r="C51" s="10" t="s">
        <v>6</v>
      </c>
      <c r="D51" s="10">
        <v>88</v>
      </c>
      <c r="E51" s="10">
        <v>187</v>
      </c>
      <c r="F51" s="10">
        <f t="shared" si="0"/>
        <v>16456</v>
      </c>
      <c r="G51" s="12" t="s">
        <v>65</v>
      </c>
    </row>
    <row r="52" spans="1:7">
      <c r="A52" s="10"/>
      <c r="B52" s="11" t="s">
        <v>45</v>
      </c>
      <c r="C52" s="10"/>
      <c r="D52" s="10"/>
      <c r="E52" s="10"/>
      <c r="F52" s="10" t="str">
        <f t="shared" si="0"/>
        <v/>
      </c>
      <c r="G52" s="12" t="s">
        <v>66</v>
      </c>
    </row>
    <row r="53" spans="1:7">
      <c r="A53" s="10"/>
      <c r="B53" s="11" t="s">
        <v>46</v>
      </c>
      <c r="C53" s="10" t="s">
        <v>6</v>
      </c>
      <c r="D53" s="10">
        <v>35</v>
      </c>
      <c r="E53" s="10">
        <v>9</v>
      </c>
      <c r="F53" s="10">
        <f t="shared" si="0"/>
        <v>315</v>
      </c>
      <c r="G53" s="12" t="s">
        <v>67</v>
      </c>
    </row>
    <row r="54" spans="1:7" ht="144">
      <c r="A54" s="10">
        <v>18</v>
      </c>
      <c r="B54" s="11" t="s">
        <v>47</v>
      </c>
      <c r="C54" s="10"/>
      <c r="D54" s="10"/>
      <c r="E54" s="10"/>
      <c r="F54" s="10" t="str">
        <f t="shared" si="0"/>
        <v/>
      </c>
      <c r="G54" s="12">
        <v>6.1</v>
      </c>
    </row>
    <row r="55" spans="1:7">
      <c r="A55" s="10"/>
      <c r="B55" s="11" t="s">
        <v>48</v>
      </c>
      <c r="C55" s="10"/>
      <c r="D55" s="10"/>
      <c r="E55" s="10"/>
      <c r="F55" s="10" t="str">
        <f t="shared" si="0"/>
        <v/>
      </c>
      <c r="G55" s="12" t="s">
        <v>68</v>
      </c>
    </row>
    <row r="56" spans="1:7">
      <c r="A56" s="10"/>
      <c r="B56" s="11" t="s">
        <v>49</v>
      </c>
      <c r="C56" s="10" t="s">
        <v>6</v>
      </c>
      <c r="D56" s="10">
        <v>25</v>
      </c>
      <c r="E56" s="10">
        <v>21</v>
      </c>
      <c r="F56" s="10">
        <f t="shared" si="0"/>
        <v>525</v>
      </c>
      <c r="G56" s="12" t="s">
        <v>69</v>
      </c>
    </row>
    <row r="57" spans="1:7">
      <c r="G57" s="8"/>
    </row>
    <row r="58" spans="1:7">
      <c r="F58" s="7">
        <f>SUM(F54:F55)</f>
        <v>0</v>
      </c>
      <c r="G58" s="8"/>
    </row>
    <row r="59" spans="1:7">
      <c r="G59" s="8"/>
    </row>
    <row r="60" spans="1:7">
      <c r="G60" s="8"/>
    </row>
    <row r="61" spans="1:7">
      <c r="G61" s="8"/>
    </row>
    <row r="62" spans="1:7">
      <c r="G62" s="8"/>
    </row>
    <row r="63" spans="1:7">
      <c r="G63" s="8"/>
    </row>
    <row r="64" spans="1:7">
      <c r="G64" s="8"/>
    </row>
    <row r="65" spans="7:7">
      <c r="G65" s="8"/>
    </row>
    <row r="66" spans="7:7">
      <c r="G66" s="8"/>
    </row>
    <row r="67" spans="7:7">
      <c r="G67" s="8"/>
    </row>
    <row r="68" spans="7:7">
      <c r="G68" s="8"/>
    </row>
    <row r="69" spans="7:7">
      <c r="G69" s="8"/>
    </row>
    <row r="70" spans="7:7">
      <c r="G70" s="8"/>
    </row>
    <row r="71" spans="7:7">
      <c r="G71" s="8"/>
    </row>
    <row r="72" spans="7:7">
      <c r="G72" s="8"/>
    </row>
    <row r="73" spans="7:7">
      <c r="G73" s="8"/>
    </row>
    <row r="74" spans="7:7">
      <c r="G74" s="8"/>
    </row>
    <row r="75" spans="7:7">
      <c r="G75" s="8"/>
    </row>
    <row r="76" spans="7:7">
      <c r="G76" s="8"/>
    </row>
    <row r="77" spans="7:7">
      <c r="G77" s="8"/>
    </row>
    <row r="78" spans="7:7">
      <c r="G78" s="8"/>
    </row>
    <row r="79" spans="7:7">
      <c r="G79" s="8"/>
    </row>
    <row r="80" spans="7:7">
      <c r="G80" s="8"/>
    </row>
    <row r="81" spans="7:7">
      <c r="G81" s="8"/>
    </row>
    <row r="82" spans="7:7">
      <c r="G82" s="8"/>
    </row>
  </sheetData>
  <mergeCells count="2">
    <mergeCell ref="A2:F2"/>
    <mergeCell ref="A3:F3"/>
  </mergeCells>
  <printOptions horizontalCentered="1"/>
  <pageMargins left="0.19685039370078738" right="0.19685039370078738" top="0.19685039370078738" bottom="0.59055118110236215" header="0.19685039370078738" footer="0.59055118110236215"/>
  <pageSetup paperSize="9" scale="79" fitToHeight="0" orientation="portrait" r:id="rId1"/>
  <headerFooter>
    <oddFooter>&amp;CAgrement No.-54&amp;R&amp;P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ProcessBillWorksheet29March2025">
                <anchor moveWithCells="1" sizeWithCells="1">
                  <from>
                    <xdr:col>8</xdr:col>
                    <xdr:colOff>19050</xdr:colOff>
                    <xdr:row>8</xdr:row>
                    <xdr:rowOff>428625</xdr:rowOff>
                  </from>
                  <to>
                    <xdr:col>9</xdr:col>
                    <xdr:colOff>0</xdr:colOff>
                    <xdr:row>11</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71"/>
  <sheetViews>
    <sheetView topLeftCell="A61" workbookViewId="0">
      <selection activeCell="A66" sqref="A66:I71"/>
    </sheetView>
  </sheetViews>
  <sheetFormatPr defaultColWidth="8.85546875" defaultRowHeight="12"/>
  <cols>
    <col min="1" max="1" width="6.28515625" style="24" customWidth="1"/>
    <col min="2" max="3" width="8.28515625" style="24" customWidth="1"/>
    <col min="4" max="4" width="6" style="24" customWidth="1"/>
    <col min="5" max="5" width="35.7109375" style="8" customWidth="1"/>
    <col min="6" max="6" width="8" style="24" customWidth="1"/>
    <col min="7" max="7" width="11.42578125" style="24" customWidth="1"/>
    <col min="8" max="8" width="9.140625" style="24" customWidth="1"/>
    <col min="9" max="9" width="7.28515625" style="24" customWidth="1"/>
    <col min="10" max="16384" width="8.85546875" style="24"/>
  </cols>
  <sheetData>
    <row r="1" spans="1:9">
      <c r="A1" s="7"/>
      <c r="B1" s="8"/>
      <c r="C1" s="7"/>
      <c r="D1" s="7"/>
      <c r="F1" s="7"/>
      <c r="G1" s="7"/>
      <c r="H1" s="7"/>
      <c r="I1" s="7"/>
    </row>
    <row r="2" spans="1:9" ht="12" customHeight="1">
      <c r="A2" s="130" t="s">
        <v>15</v>
      </c>
      <c r="B2" s="130"/>
      <c r="C2" s="130"/>
      <c r="D2" s="130"/>
      <c r="E2" s="130"/>
      <c r="F2" s="130"/>
      <c r="G2" s="130"/>
      <c r="H2" s="130"/>
      <c r="I2" s="130"/>
    </row>
    <row r="3" spans="1:9">
      <c r="A3" s="131" t="s">
        <v>19</v>
      </c>
      <c r="B3" s="131"/>
      <c r="C3" s="131"/>
      <c r="D3" s="131"/>
      <c r="E3" s="131"/>
      <c r="F3" s="131"/>
      <c r="G3" s="131"/>
      <c r="H3" s="131"/>
      <c r="I3" s="131"/>
    </row>
    <row r="4" spans="1:9">
      <c r="A4" s="16" t="s">
        <v>16</v>
      </c>
      <c r="B4" s="3"/>
      <c r="C4" s="2"/>
      <c r="D4" s="2"/>
      <c r="E4" s="50" t="s">
        <v>153</v>
      </c>
      <c r="F4" s="5"/>
      <c r="G4" s="2"/>
      <c r="H4" s="2"/>
      <c r="I4" s="2"/>
    </row>
    <row r="5" spans="1:9">
      <c r="A5" s="2"/>
      <c r="B5" s="3"/>
      <c r="C5" s="2"/>
      <c r="D5" s="2"/>
      <c r="E5" s="3"/>
      <c r="F5" s="5"/>
      <c r="G5" s="2"/>
      <c r="H5" s="2"/>
      <c r="I5" s="2"/>
    </row>
    <row r="6" spans="1:9">
      <c r="A6" s="16" t="s">
        <v>83</v>
      </c>
      <c r="B6" s="3"/>
      <c r="C6" s="2"/>
      <c r="D6" s="2"/>
      <c r="E6" s="3"/>
      <c r="F6" s="5"/>
      <c r="G6" s="2"/>
      <c r="H6" s="2"/>
      <c r="I6" s="2"/>
    </row>
    <row r="7" spans="1:9" ht="12" customHeight="1">
      <c r="A7" s="16"/>
      <c r="B7" s="132" t="s">
        <v>84</v>
      </c>
      <c r="C7" s="133"/>
      <c r="D7" s="133"/>
      <c r="E7" s="133"/>
      <c r="F7" s="133"/>
      <c r="G7" s="133"/>
      <c r="H7" s="133"/>
      <c r="I7" s="133"/>
    </row>
    <row r="8" spans="1:9">
      <c r="A8" s="16" t="s">
        <v>85</v>
      </c>
      <c r="B8" s="69"/>
      <c r="C8" s="2"/>
      <c r="D8" s="2"/>
      <c r="E8" s="3"/>
      <c r="F8" s="5"/>
      <c r="G8" s="2"/>
      <c r="H8" s="2"/>
      <c r="I8" s="2"/>
    </row>
    <row r="9" spans="1:9" ht="12" customHeight="1">
      <c r="A9" s="16"/>
      <c r="B9" s="132" t="s">
        <v>77</v>
      </c>
      <c r="C9" s="133"/>
      <c r="D9" s="133"/>
      <c r="E9" s="133"/>
      <c r="F9" s="133"/>
      <c r="G9" s="133"/>
      <c r="H9" s="133"/>
      <c r="I9" s="133"/>
    </row>
    <row r="10" spans="1:9">
      <c r="A10" s="16" t="s">
        <v>86</v>
      </c>
      <c r="B10" s="3"/>
      <c r="C10" s="2"/>
      <c r="D10" s="2"/>
      <c r="E10" s="81" t="s">
        <v>90</v>
      </c>
      <c r="F10" s="72"/>
      <c r="G10" s="73"/>
      <c r="H10" s="2"/>
      <c r="I10" s="2"/>
    </row>
    <row r="11" spans="1:9">
      <c r="A11" s="16" t="s">
        <v>87</v>
      </c>
      <c r="B11" s="3"/>
      <c r="C11" s="2"/>
      <c r="D11" s="2"/>
      <c r="E11" s="81" t="s">
        <v>88</v>
      </c>
      <c r="F11" s="72"/>
      <c r="G11" s="73"/>
      <c r="H11" s="2"/>
      <c r="I11" s="2"/>
    </row>
    <row r="12" spans="1:9">
      <c r="A12" s="16" t="s">
        <v>89</v>
      </c>
      <c r="B12" s="3"/>
      <c r="C12" s="2"/>
      <c r="D12" s="2"/>
      <c r="E12" s="81" t="s">
        <v>91</v>
      </c>
      <c r="F12" s="72"/>
      <c r="G12" s="73"/>
      <c r="H12" s="2"/>
      <c r="I12" s="2"/>
    </row>
    <row r="13" spans="1:9">
      <c r="A13" s="16" t="s">
        <v>71</v>
      </c>
      <c r="B13" s="2"/>
      <c r="C13" s="2"/>
      <c r="D13" s="2"/>
      <c r="E13" s="82" t="s">
        <v>78</v>
      </c>
      <c r="F13" s="72"/>
      <c r="G13" s="73"/>
      <c r="H13" s="2"/>
      <c r="I13" s="2"/>
    </row>
    <row r="14" spans="1:9">
      <c r="A14" s="16" t="s">
        <v>50</v>
      </c>
      <c r="B14" s="3"/>
      <c r="C14" s="2"/>
      <c r="D14" s="2"/>
      <c r="E14" s="76">
        <v>45666</v>
      </c>
      <c r="F14" s="72"/>
      <c r="G14" s="73"/>
      <c r="H14" s="2"/>
      <c r="I14" s="2"/>
    </row>
    <row r="15" spans="1:9">
      <c r="A15" s="16" t="s">
        <v>76</v>
      </c>
      <c r="B15" s="3"/>
      <c r="C15" s="2"/>
      <c r="D15" s="6"/>
      <c r="E15" s="76">
        <v>45675</v>
      </c>
      <c r="F15" s="72"/>
      <c r="G15" s="73"/>
      <c r="H15" s="2"/>
      <c r="I15" s="2"/>
    </row>
    <row r="16" spans="1:9">
      <c r="A16" s="16" t="s">
        <v>73</v>
      </c>
      <c r="B16" s="3"/>
      <c r="C16" s="2"/>
      <c r="D16" s="6"/>
      <c r="E16" s="76">
        <v>45764</v>
      </c>
      <c r="F16" s="72"/>
      <c r="G16" s="73"/>
      <c r="H16" s="2"/>
      <c r="I16" s="2"/>
    </row>
    <row r="17" spans="1:9">
      <c r="A17" s="16" t="s">
        <v>74</v>
      </c>
      <c r="B17" s="3"/>
      <c r="C17" s="2"/>
      <c r="D17" s="6"/>
      <c r="E17" s="76">
        <v>45717</v>
      </c>
      <c r="F17" s="72"/>
      <c r="G17" s="73"/>
      <c r="H17" s="2"/>
      <c r="I17" s="2"/>
    </row>
    <row r="18" spans="1:9">
      <c r="A18" s="16" t="s">
        <v>75</v>
      </c>
      <c r="B18" s="3"/>
      <c r="C18" s="51"/>
      <c r="D18" s="52"/>
      <c r="E18" s="83">
        <v>45719</v>
      </c>
      <c r="F18" s="72"/>
      <c r="G18" s="73"/>
      <c r="H18" s="2"/>
      <c r="I18" s="2"/>
    </row>
    <row r="19" spans="1:9">
      <c r="A19" s="5" t="s">
        <v>165</v>
      </c>
      <c r="B19" s="2"/>
      <c r="C19" s="51"/>
      <c r="D19" s="52"/>
      <c r="E19" s="84">
        <v>854678</v>
      </c>
      <c r="F19" s="72"/>
      <c r="G19" s="73"/>
      <c r="H19" s="2"/>
      <c r="I19" s="2"/>
    </row>
    <row r="20" spans="1:9" s="30" customFormat="1" ht="81.599999999999994" customHeight="1">
      <c r="A20" s="25" t="s">
        <v>2</v>
      </c>
      <c r="B20" s="25" t="s">
        <v>109</v>
      </c>
      <c r="C20" s="26" t="s">
        <v>110</v>
      </c>
      <c r="D20" s="26"/>
      <c r="E20" s="27" t="s">
        <v>111</v>
      </c>
      <c r="F20" s="28" t="s">
        <v>4</v>
      </c>
      <c r="G20" s="29" t="s">
        <v>112</v>
      </c>
      <c r="H20" s="49" t="s">
        <v>113</v>
      </c>
      <c r="I20" s="26" t="s">
        <v>17</v>
      </c>
    </row>
    <row r="21" spans="1:9" s="30" customFormat="1">
      <c r="A21" s="31">
        <v>1</v>
      </c>
      <c r="B21" s="31">
        <v>2</v>
      </c>
      <c r="C21" s="32">
        <v>3</v>
      </c>
      <c r="D21" s="32"/>
      <c r="E21" s="27">
        <v>4</v>
      </c>
      <c r="F21" s="33">
        <v>5</v>
      </c>
      <c r="G21" s="31">
        <v>6</v>
      </c>
      <c r="H21" s="31">
        <v>7</v>
      </c>
      <c r="I21" s="32">
        <v>8</v>
      </c>
    </row>
    <row r="22" spans="1:9" ht="240">
      <c r="A22" s="92"/>
      <c r="B22" s="92"/>
      <c r="C22" s="93"/>
      <c r="D22" s="93">
        <v>1</v>
      </c>
      <c r="E22" s="94" t="s">
        <v>20</v>
      </c>
      <c r="F22" s="92"/>
      <c r="G22" s="92"/>
      <c r="H22" s="92"/>
      <c r="I22" s="92">
        <v>1.5</v>
      </c>
    </row>
    <row r="23" spans="1:9">
      <c r="A23" s="92" t="s">
        <v>13</v>
      </c>
      <c r="B23" s="92">
        <v>0</v>
      </c>
      <c r="C23" s="93">
        <v>52</v>
      </c>
      <c r="D23" s="93"/>
      <c r="E23" s="95" t="s">
        <v>9</v>
      </c>
      <c r="F23" s="92">
        <v>256</v>
      </c>
      <c r="G23" s="92">
        <v>13312</v>
      </c>
      <c r="H23" s="92">
        <v>0</v>
      </c>
      <c r="I23" s="92" t="s">
        <v>52</v>
      </c>
    </row>
    <row r="24" spans="1:9">
      <c r="A24" s="92" t="s">
        <v>13</v>
      </c>
      <c r="B24" s="92">
        <v>0</v>
      </c>
      <c r="C24" s="93">
        <v>48</v>
      </c>
      <c r="D24" s="93"/>
      <c r="E24" s="95" t="s">
        <v>10</v>
      </c>
      <c r="F24" s="92">
        <v>472</v>
      </c>
      <c r="G24" s="92">
        <v>22656</v>
      </c>
      <c r="H24" s="92">
        <v>0</v>
      </c>
      <c r="I24" s="92" t="s">
        <v>53</v>
      </c>
    </row>
    <row r="25" spans="1:9">
      <c r="A25" s="92" t="s">
        <v>13</v>
      </c>
      <c r="B25" s="92">
        <v>0</v>
      </c>
      <c r="C25" s="93">
        <v>52</v>
      </c>
      <c r="D25" s="93"/>
      <c r="E25" s="95" t="s">
        <v>21</v>
      </c>
      <c r="F25" s="92">
        <v>662</v>
      </c>
      <c r="G25" s="92">
        <v>34424</v>
      </c>
      <c r="H25" s="92">
        <v>0</v>
      </c>
      <c r="I25" s="92" t="s">
        <v>54</v>
      </c>
    </row>
    <row r="26" spans="1:9" ht="264">
      <c r="A26" s="92"/>
      <c r="B26" s="92"/>
      <c r="C26" s="93"/>
      <c r="D26" s="93">
        <v>2</v>
      </c>
      <c r="E26" s="95" t="s">
        <v>22</v>
      </c>
      <c r="F26" s="92"/>
      <c r="G26" s="92"/>
      <c r="H26" s="92"/>
      <c r="I26" s="92">
        <v>1.7</v>
      </c>
    </row>
    <row r="27" spans="1:9">
      <c r="A27" s="92" t="s">
        <v>13</v>
      </c>
      <c r="B27" s="92">
        <v>0</v>
      </c>
      <c r="C27" s="93">
        <v>102</v>
      </c>
      <c r="D27" s="93"/>
      <c r="E27" s="95" t="s">
        <v>11</v>
      </c>
      <c r="F27" s="92">
        <v>136</v>
      </c>
      <c r="G27" s="92">
        <v>13872</v>
      </c>
      <c r="H27" s="92">
        <v>0</v>
      </c>
      <c r="I27" s="92" t="s">
        <v>55</v>
      </c>
    </row>
    <row r="28" spans="1:9" ht="120">
      <c r="A28" s="92" t="s">
        <v>6</v>
      </c>
      <c r="B28" s="92">
        <v>0</v>
      </c>
      <c r="C28" s="93">
        <v>8</v>
      </c>
      <c r="D28" s="93">
        <v>3</v>
      </c>
      <c r="E28" s="95" t="s">
        <v>23</v>
      </c>
      <c r="F28" s="92">
        <v>23</v>
      </c>
      <c r="G28" s="92">
        <v>184</v>
      </c>
      <c r="H28" s="92">
        <v>0</v>
      </c>
      <c r="I28" s="92">
        <v>7.1</v>
      </c>
    </row>
    <row r="29" spans="1:9" ht="120">
      <c r="A29" s="92" t="s">
        <v>6</v>
      </c>
      <c r="B29" s="92">
        <v>0</v>
      </c>
      <c r="C29" s="93">
        <v>32</v>
      </c>
      <c r="D29" s="93">
        <v>4</v>
      </c>
      <c r="E29" s="95" t="s">
        <v>24</v>
      </c>
      <c r="F29" s="92">
        <v>50</v>
      </c>
      <c r="G29" s="92">
        <v>1600</v>
      </c>
      <c r="H29" s="92">
        <v>0</v>
      </c>
      <c r="I29" s="92">
        <v>7.2</v>
      </c>
    </row>
    <row r="30" spans="1:9" ht="132">
      <c r="A30" s="92" t="s">
        <v>6</v>
      </c>
      <c r="B30" s="92">
        <v>0</v>
      </c>
      <c r="C30" s="93">
        <v>22</v>
      </c>
      <c r="D30" s="93">
        <v>5</v>
      </c>
      <c r="E30" s="95" t="s">
        <v>25</v>
      </c>
      <c r="F30" s="92">
        <v>33</v>
      </c>
      <c r="G30" s="92">
        <v>726</v>
      </c>
      <c r="H30" s="92">
        <v>0</v>
      </c>
      <c r="I30" s="92">
        <v>7.1</v>
      </c>
    </row>
    <row r="31" spans="1:9" ht="132">
      <c r="A31" s="92" t="s">
        <v>6</v>
      </c>
      <c r="B31" s="92">
        <v>0</v>
      </c>
      <c r="C31" s="93">
        <v>36</v>
      </c>
      <c r="D31" s="93">
        <v>6</v>
      </c>
      <c r="E31" s="95" t="s">
        <v>26</v>
      </c>
      <c r="F31" s="92">
        <v>78</v>
      </c>
      <c r="G31" s="92">
        <v>2808</v>
      </c>
      <c r="H31" s="92">
        <v>0</v>
      </c>
      <c r="I31" s="92">
        <v>7.11</v>
      </c>
    </row>
    <row r="32" spans="1:9" ht="132">
      <c r="A32" s="92" t="s">
        <v>6</v>
      </c>
      <c r="B32" s="92">
        <v>0</v>
      </c>
      <c r="C32" s="93">
        <v>12</v>
      </c>
      <c r="D32" s="93">
        <v>7</v>
      </c>
      <c r="E32" s="95" t="s">
        <v>27</v>
      </c>
      <c r="F32" s="92">
        <v>30</v>
      </c>
      <c r="G32" s="92">
        <v>360</v>
      </c>
      <c r="H32" s="92">
        <v>0</v>
      </c>
      <c r="I32" s="92">
        <v>7.12</v>
      </c>
    </row>
    <row r="33" spans="1:9" ht="120">
      <c r="A33" s="92" t="s">
        <v>6</v>
      </c>
      <c r="B33" s="92">
        <v>0</v>
      </c>
      <c r="C33" s="93">
        <v>8</v>
      </c>
      <c r="D33" s="93">
        <v>8</v>
      </c>
      <c r="E33" s="95" t="s">
        <v>28</v>
      </c>
      <c r="F33" s="92">
        <v>30</v>
      </c>
      <c r="G33" s="92">
        <v>240</v>
      </c>
      <c r="H33" s="92">
        <v>0</v>
      </c>
      <c r="I33" s="92">
        <v>7.13</v>
      </c>
    </row>
    <row r="34" spans="1:9" ht="132">
      <c r="A34" s="92" t="s">
        <v>6</v>
      </c>
      <c r="B34" s="92"/>
      <c r="C34" s="93"/>
      <c r="D34" s="93">
        <v>9</v>
      </c>
      <c r="E34" s="95" t="s">
        <v>29</v>
      </c>
      <c r="F34" s="96">
        <v>219</v>
      </c>
      <c r="G34" s="92"/>
      <c r="H34" s="92"/>
      <c r="I34" s="92">
        <v>7.21</v>
      </c>
    </row>
    <row r="35" spans="1:9" ht="168">
      <c r="A35" s="92" t="s">
        <v>6</v>
      </c>
      <c r="B35" s="92"/>
      <c r="C35" s="93"/>
      <c r="D35" s="93">
        <v>10</v>
      </c>
      <c r="E35" s="95" t="s">
        <v>30</v>
      </c>
      <c r="F35" s="92">
        <v>303</v>
      </c>
      <c r="G35" s="92"/>
      <c r="H35" s="92"/>
      <c r="I35" s="92">
        <v>7.36</v>
      </c>
    </row>
    <row r="36" spans="1:9" ht="108">
      <c r="A36" s="92"/>
      <c r="B36" s="92"/>
      <c r="C36" s="93"/>
      <c r="D36" s="93">
        <v>11</v>
      </c>
      <c r="E36" s="95" t="s">
        <v>31</v>
      </c>
      <c r="F36" s="92"/>
      <c r="G36" s="92"/>
      <c r="H36" s="92"/>
      <c r="I36" s="92">
        <v>1.4</v>
      </c>
    </row>
    <row r="37" spans="1:9">
      <c r="A37" s="92" t="s">
        <v>32</v>
      </c>
      <c r="B37" s="92">
        <v>0</v>
      </c>
      <c r="C37" s="93">
        <v>2985</v>
      </c>
      <c r="D37" s="93"/>
      <c r="E37" s="95" t="s">
        <v>8</v>
      </c>
      <c r="F37" s="92">
        <v>40</v>
      </c>
      <c r="G37" s="92">
        <v>119400</v>
      </c>
      <c r="H37" s="92">
        <v>0</v>
      </c>
      <c r="I37" s="92" t="s">
        <v>57</v>
      </c>
    </row>
    <row r="38" spans="1:9">
      <c r="A38" s="92" t="s">
        <v>32</v>
      </c>
      <c r="B38" s="92"/>
      <c r="C38" s="93"/>
      <c r="D38" s="93"/>
      <c r="E38" s="95" t="s">
        <v>12</v>
      </c>
      <c r="F38" s="92">
        <v>56</v>
      </c>
      <c r="G38" s="92"/>
      <c r="H38" s="92"/>
      <c r="I38" s="92" t="s">
        <v>58</v>
      </c>
    </row>
    <row r="39" spans="1:9" ht="240">
      <c r="A39" s="92"/>
      <c r="B39" s="92"/>
      <c r="C39" s="93"/>
      <c r="D39" s="93">
        <v>12</v>
      </c>
      <c r="E39" s="95" t="s">
        <v>51</v>
      </c>
      <c r="F39" s="92"/>
      <c r="G39" s="92"/>
      <c r="H39" s="92"/>
      <c r="I39" s="92">
        <v>4.0999999999999996</v>
      </c>
    </row>
    <row r="40" spans="1:9">
      <c r="A40" s="92" t="s">
        <v>7</v>
      </c>
      <c r="B40" s="92">
        <v>0</v>
      </c>
      <c r="C40" s="93">
        <v>9000</v>
      </c>
      <c r="D40" s="93"/>
      <c r="E40" s="95" t="s">
        <v>33</v>
      </c>
      <c r="F40" s="92">
        <v>81</v>
      </c>
      <c r="G40" s="92">
        <v>729000</v>
      </c>
      <c r="H40" s="92">
        <v>0</v>
      </c>
      <c r="I40" s="92" t="s">
        <v>59</v>
      </c>
    </row>
    <row r="41" spans="1:9">
      <c r="A41" s="92" t="s">
        <v>7</v>
      </c>
      <c r="B41" s="92"/>
      <c r="C41" s="93"/>
      <c r="D41" s="93"/>
      <c r="E41" s="95" t="s">
        <v>34</v>
      </c>
      <c r="F41" s="92">
        <v>122</v>
      </c>
      <c r="G41" s="92"/>
      <c r="H41" s="92"/>
      <c r="I41" s="92" t="s">
        <v>60</v>
      </c>
    </row>
    <row r="42" spans="1:9" ht="264">
      <c r="A42" s="92" t="s">
        <v>14</v>
      </c>
      <c r="B42" s="92"/>
      <c r="C42" s="93"/>
      <c r="D42" s="93">
        <v>13</v>
      </c>
      <c r="E42" s="95" t="s">
        <v>35</v>
      </c>
      <c r="F42" s="92">
        <v>5733</v>
      </c>
      <c r="G42" s="92"/>
      <c r="H42" s="92"/>
      <c r="I42" s="92">
        <v>14.2</v>
      </c>
    </row>
    <row r="43" spans="1:9" ht="108">
      <c r="A43" s="92"/>
      <c r="B43" s="92"/>
      <c r="C43" s="93"/>
      <c r="D43" s="93">
        <v>14</v>
      </c>
      <c r="E43" s="95" t="s">
        <v>36</v>
      </c>
      <c r="F43" s="92"/>
      <c r="G43" s="92"/>
      <c r="H43" s="92"/>
      <c r="I43" s="92">
        <v>14.6</v>
      </c>
    </row>
    <row r="44" spans="1:9">
      <c r="A44" s="92" t="s">
        <v>7</v>
      </c>
      <c r="B44" s="92">
        <v>0</v>
      </c>
      <c r="C44" s="93">
        <v>35</v>
      </c>
      <c r="D44" s="93"/>
      <c r="E44" s="95" t="s">
        <v>37</v>
      </c>
      <c r="F44" s="92">
        <v>20</v>
      </c>
      <c r="G44" s="92">
        <v>700</v>
      </c>
      <c r="H44" s="92">
        <v>0</v>
      </c>
      <c r="I44" s="92" t="s">
        <v>61</v>
      </c>
    </row>
    <row r="45" spans="1:9" ht="180">
      <c r="A45" s="92"/>
      <c r="B45" s="92"/>
      <c r="C45" s="93"/>
      <c r="D45" s="93">
        <v>15</v>
      </c>
      <c r="E45" s="94" t="s">
        <v>38</v>
      </c>
      <c r="F45" s="92"/>
      <c r="G45" s="92"/>
      <c r="H45" s="92"/>
      <c r="I45" s="92">
        <v>15.7</v>
      </c>
    </row>
    <row r="46" spans="1:9" ht="24">
      <c r="A46" s="92" t="s">
        <v>6</v>
      </c>
      <c r="B46" s="92">
        <v>0</v>
      </c>
      <c r="C46" s="93">
        <v>12</v>
      </c>
      <c r="D46" s="93"/>
      <c r="E46" s="94" t="s">
        <v>39</v>
      </c>
      <c r="F46" s="92">
        <v>1890</v>
      </c>
      <c r="G46" s="92">
        <v>22680</v>
      </c>
      <c r="H46" s="92">
        <v>0</v>
      </c>
      <c r="I46" s="92" t="s">
        <v>62</v>
      </c>
    </row>
    <row r="47" spans="1:9" ht="300">
      <c r="A47" s="92"/>
      <c r="B47" s="92"/>
      <c r="C47" s="93"/>
      <c r="D47" s="93">
        <v>16</v>
      </c>
      <c r="E47" s="95" t="s">
        <v>40</v>
      </c>
      <c r="F47" s="92"/>
      <c r="G47" s="92"/>
      <c r="H47" s="92"/>
      <c r="I47" s="92">
        <v>17.100000000000001</v>
      </c>
    </row>
    <row r="48" spans="1:9" ht="24">
      <c r="A48" s="92" t="s">
        <v>6</v>
      </c>
      <c r="B48" s="92">
        <v>0</v>
      </c>
      <c r="C48" s="93">
        <v>78</v>
      </c>
      <c r="D48" s="93"/>
      <c r="E48" s="95" t="s">
        <v>41</v>
      </c>
      <c r="F48" s="92">
        <v>492</v>
      </c>
      <c r="G48" s="92">
        <v>38376</v>
      </c>
      <c r="H48" s="92">
        <v>0</v>
      </c>
      <c r="I48" s="92" t="s">
        <v>63</v>
      </c>
    </row>
    <row r="49" spans="1:9" ht="276">
      <c r="A49" s="92"/>
      <c r="B49" s="92"/>
      <c r="C49" s="93"/>
      <c r="D49" s="93">
        <v>17</v>
      </c>
      <c r="E49" s="95" t="s">
        <v>42</v>
      </c>
      <c r="F49" s="92"/>
      <c r="G49" s="92"/>
      <c r="H49" s="92"/>
      <c r="I49" s="92">
        <v>6.1</v>
      </c>
    </row>
    <row r="50" spans="1:9" ht="24">
      <c r="A50" s="92"/>
      <c r="B50" s="92"/>
      <c r="C50" s="93"/>
      <c r="D50" s="93"/>
      <c r="E50" s="95" t="s">
        <v>43</v>
      </c>
      <c r="F50" s="92"/>
      <c r="G50" s="92"/>
      <c r="H50" s="92"/>
      <c r="I50" s="92" t="s">
        <v>64</v>
      </c>
    </row>
    <row r="51" spans="1:9">
      <c r="A51" s="92" t="s">
        <v>6</v>
      </c>
      <c r="B51" s="92">
        <v>0</v>
      </c>
      <c r="C51" s="93">
        <v>88</v>
      </c>
      <c r="D51" s="93"/>
      <c r="E51" s="95" t="s">
        <v>44</v>
      </c>
      <c r="F51" s="92">
        <v>187</v>
      </c>
      <c r="G51" s="92">
        <v>16456</v>
      </c>
      <c r="H51" s="92">
        <v>0</v>
      </c>
      <c r="I51" s="92" t="s">
        <v>65</v>
      </c>
    </row>
    <row r="52" spans="1:9" ht="24">
      <c r="A52" s="92"/>
      <c r="B52" s="92"/>
      <c r="C52" s="93"/>
      <c r="D52" s="93"/>
      <c r="E52" s="95" t="s">
        <v>45</v>
      </c>
      <c r="F52" s="92"/>
      <c r="G52" s="92"/>
      <c r="H52" s="92"/>
      <c r="I52" s="92" t="s">
        <v>66</v>
      </c>
    </row>
    <row r="53" spans="1:9">
      <c r="A53" s="92" t="s">
        <v>6</v>
      </c>
      <c r="B53" s="92">
        <v>0</v>
      </c>
      <c r="C53" s="93">
        <v>35</v>
      </c>
      <c r="D53" s="93"/>
      <c r="E53" s="95" t="s">
        <v>46</v>
      </c>
      <c r="F53" s="92">
        <v>900</v>
      </c>
      <c r="G53" s="92">
        <v>31500</v>
      </c>
      <c r="H53" s="92">
        <v>0</v>
      </c>
      <c r="I53" s="92" t="s">
        <v>67</v>
      </c>
    </row>
    <row r="54" spans="1:9" ht="264">
      <c r="A54" s="92"/>
      <c r="B54" s="92"/>
      <c r="C54" s="93"/>
      <c r="D54" s="93">
        <v>18</v>
      </c>
      <c r="E54" s="95" t="s">
        <v>47</v>
      </c>
      <c r="F54" s="92"/>
      <c r="G54" s="92"/>
      <c r="H54" s="92"/>
      <c r="I54" s="92">
        <v>6.1</v>
      </c>
    </row>
    <row r="55" spans="1:9">
      <c r="A55" s="92"/>
      <c r="B55" s="92"/>
      <c r="C55" s="93"/>
      <c r="D55" s="93"/>
      <c r="E55" s="94" t="s">
        <v>170</v>
      </c>
      <c r="F55" s="92"/>
      <c r="G55" s="92"/>
      <c r="H55" s="92"/>
      <c r="I55" s="92"/>
    </row>
    <row r="56" spans="1:9" ht="24">
      <c r="A56" s="92" t="s">
        <v>6</v>
      </c>
      <c r="B56" s="92"/>
      <c r="C56" s="93">
        <v>2</v>
      </c>
      <c r="D56" s="93" t="s">
        <v>94</v>
      </c>
      <c r="E56" s="95" t="s">
        <v>82</v>
      </c>
      <c r="F56" s="92">
        <v>5075</v>
      </c>
      <c r="G56" s="92">
        <v>10150</v>
      </c>
      <c r="H56" s="92">
        <v>0</v>
      </c>
      <c r="I56" s="92"/>
    </row>
    <row r="57" spans="1:9">
      <c r="A57" s="92" t="s">
        <v>6</v>
      </c>
      <c r="B57" s="92"/>
      <c r="C57" s="93">
        <v>4</v>
      </c>
      <c r="D57" s="93" t="s">
        <v>95</v>
      </c>
      <c r="E57" s="95" t="s">
        <v>80</v>
      </c>
      <c r="F57" s="96">
        <v>107</v>
      </c>
      <c r="G57" s="92">
        <v>428</v>
      </c>
      <c r="H57" s="92">
        <v>0</v>
      </c>
      <c r="I57" s="92"/>
    </row>
    <row r="58" spans="1:9">
      <c r="A58" s="92" t="s">
        <v>6</v>
      </c>
      <c r="B58" s="92"/>
      <c r="C58" s="93">
        <v>5</v>
      </c>
      <c r="D58" s="93" t="s">
        <v>96</v>
      </c>
      <c r="E58" s="95" t="s">
        <v>81</v>
      </c>
      <c r="F58" s="96">
        <v>176</v>
      </c>
      <c r="G58" s="92">
        <v>880</v>
      </c>
      <c r="H58" s="92">
        <v>0</v>
      </c>
      <c r="I58" s="92"/>
    </row>
    <row r="59" spans="1:9" ht="120">
      <c r="A59" s="92" t="s">
        <v>6</v>
      </c>
      <c r="B59" s="92"/>
      <c r="C59" s="93">
        <v>5</v>
      </c>
      <c r="D59" s="93" t="s">
        <v>97</v>
      </c>
      <c r="E59" s="95" t="s">
        <v>79</v>
      </c>
      <c r="F59" s="92">
        <v>345</v>
      </c>
      <c r="G59" s="92">
        <v>1725</v>
      </c>
      <c r="H59" s="92">
        <v>0</v>
      </c>
      <c r="I59" s="92"/>
    </row>
    <row r="60" spans="1:9">
      <c r="A60" s="92" t="s">
        <v>6</v>
      </c>
      <c r="B60" s="92"/>
      <c r="C60" s="93">
        <v>4</v>
      </c>
      <c r="D60" s="93" t="s">
        <v>98</v>
      </c>
      <c r="E60" s="95" t="s">
        <v>80</v>
      </c>
      <c r="F60" s="92">
        <v>107</v>
      </c>
      <c r="G60" s="92">
        <v>428</v>
      </c>
      <c r="H60" s="92">
        <v>0</v>
      </c>
      <c r="I60" s="92"/>
    </row>
    <row r="61" spans="1:9">
      <c r="A61" s="92" t="s">
        <v>6</v>
      </c>
      <c r="B61" s="92"/>
      <c r="C61" s="93">
        <v>4</v>
      </c>
      <c r="D61" s="93" t="s">
        <v>95</v>
      </c>
      <c r="E61" s="95" t="s">
        <v>80</v>
      </c>
      <c r="F61" s="92">
        <v>107</v>
      </c>
      <c r="G61" s="92">
        <v>428</v>
      </c>
      <c r="H61" s="92">
        <v>0</v>
      </c>
      <c r="I61" s="92"/>
    </row>
    <row r="62" spans="1:9">
      <c r="A62" s="92" t="s">
        <v>6</v>
      </c>
      <c r="B62" s="92"/>
      <c r="C62" s="93">
        <v>5</v>
      </c>
      <c r="D62" s="93" t="s">
        <v>96</v>
      </c>
      <c r="E62" s="95" t="s">
        <v>81</v>
      </c>
      <c r="F62" s="92">
        <v>176</v>
      </c>
      <c r="G62" s="92">
        <v>880</v>
      </c>
      <c r="H62" s="92">
        <v>0</v>
      </c>
      <c r="I62" s="92"/>
    </row>
    <row r="63" spans="1:9" ht="120">
      <c r="A63" s="92" t="s">
        <v>6</v>
      </c>
      <c r="B63" s="92"/>
      <c r="C63" s="93">
        <v>5</v>
      </c>
      <c r="D63" s="93" t="s">
        <v>97</v>
      </c>
      <c r="E63" s="95" t="s">
        <v>79</v>
      </c>
      <c r="F63" s="92">
        <v>345</v>
      </c>
      <c r="G63" s="92">
        <v>1725</v>
      </c>
      <c r="H63" s="92">
        <v>0</v>
      </c>
      <c r="I63" s="92"/>
    </row>
    <row r="64" spans="1:9">
      <c r="A64" s="92" t="s">
        <v>6</v>
      </c>
      <c r="B64" s="92"/>
      <c r="C64" s="93">
        <v>5</v>
      </c>
      <c r="D64" s="93" t="s">
        <v>99</v>
      </c>
      <c r="E64" s="95" t="s">
        <v>81</v>
      </c>
      <c r="F64" s="92">
        <v>176</v>
      </c>
      <c r="G64" s="92">
        <v>880</v>
      </c>
      <c r="H64" s="92">
        <v>0</v>
      </c>
      <c r="I64" s="92"/>
    </row>
    <row r="65" spans="1:9">
      <c r="A65" s="92"/>
      <c r="B65" s="92"/>
      <c r="C65" s="93"/>
      <c r="D65" s="93"/>
      <c r="E65" s="95"/>
      <c r="F65" s="92"/>
      <c r="G65" s="92"/>
      <c r="H65" s="92">
        <v>0</v>
      </c>
      <c r="I65" s="92"/>
    </row>
    <row r="66" spans="1:9">
      <c r="A66" s="92"/>
      <c r="B66" s="92"/>
      <c r="C66" s="93"/>
      <c r="D66" s="93"/>
      <c r="E66" s="95" t="s">
        <v>72</v>
      </c>
      <c r="F66" s="96"/>
      <c r="G66" s="92">
        <v>1065818</v>
      </c>
      <c r="H66" s="92"/>
      <c r="I66" s="92"/>
    </row>
    <row r="67" spans="1:9">
      <c r="A67" s="92"/>
      <c r="B67" s="92"/>
      <c r="C67" s="93"/>
      <c r="D67" s="93"/>
      <c r="E67" s="95" t="s">
        <v>227</v>
      </c>
      <c r="F67" s="96">
        <v>5.0999999999999997E-2</v>
      </c>
      <c r="G67" s="92">
        <v>54357</v>
      </c>
      <c r="H67" s="92"/>
      <c r="I67" s="92"/>
    </row>
    <row r="68" spans="1:9">
      <c r="A68" s="92"/>
      <c r="B68" s="92"/>
      <c r="C68" s="93"/>
      <c r="D68" s="93"/>
      <c r="E68" s="95" t="s">
        <v>171</v>
      </c>
      <c r="F68" s="92"/>
      <c r="G68" s="92">
        <v>1120175</v>
      </c>
      <c r="H68" s="92"/>
      <c r="I68" s="92"/>
    </row>
    <row r="69" spans="1:9" ht="24">
      <c r="A69" s="92"/>
      <c r="B69" s="92"/>
      <c r="C69" s="93">
        <v>18418</v>
      </c>
      <c r="D69" s="93"/>
      <c r="E69" s="95" t="s">
        <v>172</v>
      </c>
      <c r="F69" s="92"/>
      <c r="G69" s="92"/>
      <c r="H69" s="92"/>
      <c r="I69" s="92"/>
    </row>
    <row r="70" spans="1:9">
      <c r="A70" s="92"/>
      <c r="B70" s="92"/>
      <c r="C70" s="92"/>
      <c r="D70" s="92"/>
      <c r="E70" s="97" t="s">
        <v>225</v>
      </c>
      <c r="F70" s="92"/>
      <c r="G70" s="92">
        <v>12562</v>
      </c>
      <c r="H70" s="92"/>
      <c r="I70" s="92"/>
    </row>
    <row r="71" spans="1:9">
      <c r="A71" s="92"/>
      <c r="B71" s="92"/>
      <c r="C71" s="92"/>
      <c r="D71" s="92"/>
      <c r="E71" s="97" t="s">
        <v>226</v>
      </c>
      <c r="F71" s="92"/>
      <c r="G71" s="92">
        <f>G68-G70</f>
        <v>1107613</v>
      </c>
      <c r="H71" s="92"/>
      <c r="I71" s="92"/>
    </row>
  </sheetData>
  <mergeCells count="4">
    <mergeCell ref="A2:I2"/>
    <mergeCell ref="A3:I3"/>
    <mergeCell ref="B7:I7"/>
    <mergeCell ref="B9:I9"/>
  </mergeCells>
  <printOptions horizontalCentered="1"/>
  <pageMargins left="0.25" right="0.25" top="0.25" bottom="0.6" header="0.19685039370078738" footer="0.59055118110236215"/>
  <pageSetup paperSize="9" fitToWidth="0" fitToHeight="0"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H85"/>
  <sheetViews>
    <sheetView workbookViewId="0">
      <selection activeCell="F41" sqref="F41"/>
    </sheetView>
  </sheetViews>
  <sheetFormatPr defaultRowHeight="12"/>
  <cols>
    <col min="1" max="1" width="29" style="2" bestFit="1" customWidth="1"/>
    <col min="2" max="2" width="6.42578125" style="2" bestFit="1" customWidth="1"/>
    <col min="3" max="3" width="65.140625" style="2" bestFit="1" customWidth="1"/>
    <col min="4" max="4" width="21.140625" style="2" bestFit="1" customWidth="1"/>
    <col min="5" max="5" width="3.85546875" style="2" bestFit="1" customWidth="1"/>
    <col min="6" max="6" width="7.5703125" style="2" bestFit="1" customWidth="1"/>
    <col min="7" max="7" width="9.85546875" style="2" customWidth="1"/>
    <col min="8" max="8" width="30.7109375" style="2" customWidth="1"/>
    <col min="9" max="254" width="8.85546875" style="2"/>
    <col min="255" max="255" width="5.42578125" style="2" customWidth="1"/>
    <col min="256" max="256" width="7" style="2" customWidth="1"/>
    <col min="257" max="257" width="29" style="2" customWidth="1"/>
    <col min="258" max="258" width="7" style="2" bestFit="1" customWidth="1"/>
    <col min="259" max="259" width="4.85546875" style="2" bestFit="1" customWidth="1"/>
    <col min="260" max="260" width="7.5703125" style="2" bestFit="1" customWidth="1"/>
    <col min="261" max="261" width="9.85546875" style="2" customWidth="1"/>
    <col min="262" max="262" width="23.5703125" style="2" customWidth="1"/>
    <col min="263" max="510" width="8.85546875" style="2"/>
    <col min="511" max="511" width="5.42578125" style="2" customWidth="1"/>
    <col min="512" max="512" width="7" style="2" customWidth="1"/>
    <col min="513" max="513" width="29" style="2" customWidth="1"/>
    <col min="514" max="514" width="7" style="2" bestFit="1" customWidth="1"/>
    <col min="515" max="515" width="4.85546875" style="2" bestFit="1" customWidth="1"/>
    <col min="516" max="516" width="7.5703125" style="2" bestFit="1" customWidth="1"/>
    <col min="517" max="517" width="9.85546875" style="2" customWidth="1"/>
    <col min="518" max="518" width="23.5703125" style="2" customWidth="1"/>
    <col min="519" max="766" width="8.85546875" style="2"/>
    <col min="767" max="767" width="5.42578125" style="2" customWidth="1"/>
    <col min="768" max="768" width="7" style="2" customWidth="1"/>
    <col min="769" max="769" width="29" style="2" customWidth="1"/>
    <col min="770" max="770" width="7" style="2" bestFit="1" customWidth="1"/>
    <col min="771" max="771" width="4.85546875" style="2" bestFit="1" customWidth="1"/>
    <col min="772" max="772" width="7.5703125" style="2" bestFit="1" customWidth="1"/>
    <col min="773" max="773" width="9.85546875" style="2" customWidth="1"/>
    <col min="774" max="774" width="23.5703125" style="2" customWidth="1"/>
    <col min="775" max="1022" width="8.85546875" style="2"/>
    <col min="1023" max="1023" width="5.42578125" style="2" customWidth="1"/>
    <col min="1024" max="1024" width="7" style="2" customWidth="1"/>
    <col min="1025" max="1025" width="29" style="2" customWidth="1"/>
    <col min="1026" max="1026" width="7" style="2" bestFit="1" customWidth="1"/>
    <col min="1027" max="1027" width="4.85546875" style="2" bestFit="1" customWidth="1"/>
    <col min="1028" max="1028" width="7.5703125" style="2" bestFit="1" customWidth="1"/>
    <col min="1029" max="1029" width="9.85546875" style="2" customWidth="1"/>
    <col min="1030" max="1030" width="23.5703125" style="2" customWidth="1"/>
    <col min="1031" max="1278" width="8.85546875" style="2"/>
    <col min="1279" max="1279" width="5.42578125" style="2" customWidth="1"/>
    <col min="1280" max="1280" width="7" style="2" customWidth="1"/>
    <col min="1281" max="1281" width="29" style="2" customWidth="1"/>
    <col min="1282" max="1282" width="7" style="2" bestFit="1" customWidth="1"/>
    <col min="1283" max="1283" width="4.85546875" style="2" bestFit="1" customWidth="1"/>
    <col min="1284" max="1284" width="7.5703125" style="2" bestFit="1" customWidth="1"/>
    <col min="1285" max="1285" width="9.85546875" style="2" customWidth="1"/>
    <col min="1286" max="1286" width="23.5703125" style="2" customWidth="1"/>
    <col min="1287" max="1534" width="8.85546875" style="2"/>
    <col min="1535" max="1535" width="5.42578125" style="2" customWidth="1"/>
    <col min="1536" max="1536" width="7" style="2" customWidth="1"/>
    <col min="1537" max="1537" width="29" style="2" customWidth="1"/>
    <col min="1538" max="1538" width="7" style="2" bestFit="1" customWidth="1"/>
    <col min="1539" max="1539" width="4.85546875" style="2" bestFit="1" customWidth="1"/>
    <col min="1540" max="1540" width="7.5703125" style="2" bestFit="1" customWidth="1"/>
    <col min="1541" max="1541" width="9.85546875" style="2" customWidth="1"/>
    <col min="1542" max="1542" width="23.5703125" style="2" customWidth="1"/>
    <col min="1543" max="1790" width="8.85546875" style="2"/>
    <col min="1791" max="1791" width="5.42578125" style="2" customWidth="1"/>
    <col min="1792" max="1792" width="7" style="2" customWidth="1"/>
    <col min="1793" max="1793" width="29" style="2" customWidth="1"/>
    <col min="1794" max="1794" width="7" style="2" bestFit="1" customWidth="1"/>
    <col min="1795" max="1795" width="4.85546875" style="2" bestFit="1" customWidth="1"/>
    <col min="1796" max="1796" width="7.5703125" style="2" bestFit="1" customWidth="1"/>
    <col min="1797" max="1797" width="9.85546875" style="2" customWidth="1"/>
    <col min="1798" max="1798" width="23.5703125" style="2" customWidth="1"/>
    <col min="1799" max="2046" width="8.85546875" style="2"/>
    <col min="2047" max="2047" width="5.42578125" style="2" customWidth="1"/>
    <col min="2048" max="2048" width="7" style="2" customWidth="1"/>
    <col min="2049" max="2049" width="29" style="2" customWidth="1"/>
    <col min="2050" max="2050" width="7" style="2" bestFit="1" customWidth="1"/>
    <col min="2051" max="2051" width="4.85546875" style="2" bestFit="1" customWidth="1"/>
    <col min="2052" max="2052" width="7.5703125" style="2" bestFit="1" customWidth="1"/>
    <col min="2053" max="2053" width="9.85546875" style="2" customWidth="1"/>
    <col min="2054" max="2054" width="23.5703125" style="2" customWidth="1"/>
    <col min="2055" max="2302" width="8.85546875" style="2"/>
    <col min="2303" max="2303" width="5.42578125" style="2" customWidth="1"/>
    <col min="2304" max="2304" width="7" style="2" customWidth="1"/>
    <col min="2305" max="2305" width="29" style="2" customWidth="1"/>
    <col min="2306" max="2306" width="7" style="2" bestFit="1" customWidth="1"/>
    <col min="2307" max="2307" width="4.85546875" style="2" bestFit="1" customWidth="1"/>
    <col min="2308" max="2308" width="7.5703125" style="2" bestFit="1" customWidth="1"/>
    <col min="2309" max="2309" width="9.85546875" style="2" customWidth="1"/>
    <col min="2310" max="2310" width="23.5703125" style="2" customWidth="1"/>
    <col min="2311" max="2558" width="8.85546875" style="2"/>
    <col min="2559" max="2559" width="5.42578125" style="2" customWidth="1"/>
    <col min="2560" max="2560" width="7" style="2" customWidth="1"/>
    <col min="2561" max="2561" width="29" style="2" customWidth="1"/>
    <col min="2562" max="2562" width="7" style="2" bestFit="1" customWidth="1"/>
    <col min="2563" max="2563" width="4.85546875" style="2" bestFit="1" customWidth="1"/>
    <col min="2564" max="2564" width="7.5703125" style="2" bestFit="1" customWidth="1"/>
    <col min="2565" max="2565" width="9.85546875" style="2" customWidth="1"/>
    <col min="2566" max="2566" width="23.5703125" style="2" customWidth="1"/>
    <col min="2567" max="2814" width="8.85546875" style="2"/>
    <col min="2815" max="2815" width="5.42578125" style="2" customWidth="1"/>
    <col min="2816" max="2816" width="7" style="2" customWidth="1"/>
    <col min="2817" max="2817" width="29" style="2" customWidth="1"/>
    <col min="2818" max="2818" width="7" style="2" bestFit="1" customWidth="1"/>
    <col min="2819" max="2819" width="4.85546875" style="2" bestFit="1" customWidth="1"/>
    <col min="2820" max="2820" width="7.5703125" style="2" bestFit="1" customWidth="1"/>
    <col min="2821" max="2821" width="9.85546875" style="2" customWidth="1"/>
    <col min="2822" max="2822" width="23.5703125" style="2" customWidth="1"/>
    <col min="2823" max="3070" width="8.85546875" style="2"/>
    <col min="3071" max="3071" width="5.42578125" style="2" customWidth="1"/>
    <col min="3072" max="3072" width="7" style="2" customWidth="1"/>
    <col min="3073" max="3073" width="29" style="2" customWidth="1"/>
    <col min="3074" max="3074" width="7" style="2" bestFit="1" customWidth="1"/>
    <col min="3075" max="3075" width="4.85546875" style="2" bestFit="1" customWidth="1"/>
    <col min="3076" max="3076" width="7.5703125" style="2" bestFit="1" customWidth="1"/>
    <col min="3077" max="3077" width="9.85546875" style="2" customWidth="1"/>
    <col min="3078" max="3078" width="23.5703125" style="2" customWidth="1"/>
    <col min="3079" max="3326" width="8.85546875" style="2"/>
    <col min="3327" max="3327" width="5.42578125" style="2" customWidth="1"/>
    <col min="3328" max="3328" width="7" style="2" customWidth="1"/>
    <col min="3329" max="3329" width="29" style="2" customWidth="1"/>
    <col min="3330" max="3330" width="7" style="2" bestFit="1" customWidth="1"/>
    <col min="3331" max="3331" width="4.85546875" style="2" bestFit="1" customWidth="1"/>
    <col min="3332" max="3332" width="7.5703125" style="2" bestFit="1" customWidth="1"/>
    <col min="3333" max="3333" width="9.85546875" style="2" customWidth="1"/>
    <col min="3334" max="3334" width="23.5703125" style="2" customWidth="1"/>
    <col min="3335" max="3582" width="8.85546875" style="2"/>
    <col min="3583" max="3583" width="5.42578125" style="2" customWidth="1"/>
    <col min="3584" max="3584" width="7" style="2" customWidth="1"/>
    <col min="3585" max="3585" width="29" style="2" customWidth="1"/>
    <col min="3586" max="3586" width="7" style="2" bestFit="1" customWidth="1"/>
    <col min="3587" max="3587" width="4.85546875" style="2" bestFit="1" customWidth="1"/>
    <col min="3588" max="3588" width="7.5703125" style="2" bestFit="1" customWidth="1"/>
    <col min="3589" max="3589" width="9.85546875" style="2" customWidth="1"/>
    <col min="3590" max="3590" width="23.5703125" style="2" customWidth="1"/>
    <col min="3591" max="3838" width="8.85546875" style="2"/>
    <col min="3839" max="3839" width="5.42578125" style="2" customWidth="1"/>
    <col min="3840" max="3840" width="7" style="2" customWidth="1"/>
    <col min="3841" max="3841" width="29" style="2" customWidth="1"/>
    <col min="3842" max="3842" width="7" style="2" bestFit="1" customWidth="1"/>
    <col min="3843" max="3843" width="4.85546875" style="2" bestFit="1" customWidth="1"/>
    <col min="3844" max="3844" width="7.5703125" style="2" bestFit="1" customWidth="1"/>
    <col min="3845" max="3845" width="9.85546875" style="2" customWidth="1"/>
    <col min="3846" max="3846" width="23.5703125" style="2" customWidth="1"/>
    <col min="3847" max="4094" width="8.85546875" style="2"/>
    <col min="4095" max="4095" width="5.42578125" style="2" customWidth="1"/>
    <col min="4096" max="4096" width="7" style="2" customWidth="1"/>
    <col min="4097" max="4097" width="29" style="2" customWidth="1"/>
    <col min="4098" max="4098" width="7" style="2" bestFit="1" customWidth="1"/>
    <col min="4099" max="4099" width="4.85546875" style="2" bestFit="1" customWidth="1"/>
    <col min="4100" max="4100" width="7.5703125" style="2" bestFit="1" customWidth="1"/>
    <col min="4101" max="4101" width="9.85546875" style="2" customWidth="1"/>
    <col min="4102" max="4102" width="23.5703125" style="2" customWidth="1"/>
    <col min="4103" max="4350" width="8.85546875" style="2"/>
    <col min="4351" max="4351" width="5.42578125" style="2" customWidth="1"/>
    <col min="4352" max="4352" width="7" style="2" customWidth="1"/>
    <col min="4353" max="4353" width="29" style="2" customWidth="1"/>
    <col min="4354" max="4354" width="7" style="2" bestFit="1" customWidth="1"/>
    <col min="4355" max="4355" width="4.85546875" style="2" bestFit="1" customWidth="1"/>
    <col min="4356" max="4356" width="7.5703125" style="2" bestFit="1" customWidth="1"/>
    <col min="4357" max="4357" width="9.85546875" style="2" customWidth="1"/>
    <col min="4358" max="4358" width="23.5703125" style="2" customWidth="1"/>
    <col min="4359" max="4606" width="8.85546875" style="2"/>
    <col min="4607" max="4607" width="5.42578125" style="2" customWidth="1"/>
    <col min="4608" max="4608" width="7" style="2" customWidth="1"/>
    <col min="4609" max="4609" width="29" style="2" customWidth="1"/>
    <col min="4610" max="4610" width="7" style="2" bestFit="1" customWidth="1"/>
    <col min="4611" max="4611" width="4.85546875" style="2" bestFit="1" customWidth="1"/>
    <col min="4612" max="4612" width="7.5703125" style="2" bestFit="1" customWidth="1"/>
    <col min="4613" max="4613" width="9.85546875" style="2" customWidth="1"/>
    <col min="4614" max="4614" width="23.5703125" style="2" customWidth="1"/>
    <col min="4615" max="4862" width="8.85546875" style="2"/>
    <col min="4863" max="4863" width="5.42578125" style="2" customWidth="1"/>
    <col min="4864" max="4864" width="7" style="2" customWidth="1"/>
    <col min="4865" max="4865" width="29" style="2" customWidth="1"/>
    <col min="4866" max="4866" width="7" style="2" bestFit="1" customWidth="1"/>
    <col min="4867" max="4867" width="4.85546875" style="2" bestFit="1" customWidth="1"/>
    <col min="4868" max="4868" width="7.5703125" style="2" bestFit="1" customWidth="1"/>
    <col min="4869" max="4869" width="9.85546875" style="2" customWidth="1"/>
    <col min="4870" max="4870" width="23.5703125" style="2" customWidth="1"/>
    <col min="4871" max="5118" width="8.85546875" style="2"/>
    <col min="5119" max="5119" width="5.42578125" style="2" customWidth="1"/>
    <col min="5120" max="5120" width="7" style="2" customWidth="1"/>
    <col min="5121" max="5121" width="29" style="2" customWidth="1"/>
    <col min="5122" max="5122" width="7" style="2" bestFit="1" customWidth="1"/>
    <col min="5123" max="5123" width="4.85546875" style="2" bestFit="1" customWidth="1"/>
    <col min="5124" max="5124" width="7.5703125" style="2" bestFit="1" customWidth="1"/>
    <col min="5125" max="5125" width="9.85546875" style="2" customWidth="1"/>
    <col min="5126" max="5126" width="23.5703125" style="2" customWidth="1"/>
    <col min="5127" max="5374" width="8.85546875" style="2"/>
    <col min="5375" max="5375" width="5.42578125" style="2" customWidth="1"/>
    <col min="5376" max="5376" width="7" style="2" customWidth="1"/>
    <col min="5377" max="5377" width="29" style="2" customWidth="1"/>
    <col min="5378" max="5378" width="7" style="2" bestFit="1" customWidth="1"/>
    <col min="5379" max="5379" width="4.85546875" style="2" bestFit="1" customWidth="1"/>
    <col min="5380" max="5380" width="7.5703125" style="2" bestFit="1" customWidth="1"/>
    <col min="5381" max="5381" width="9.85546875" style="2" customWidth="1"/>
    <col min="5382" max="5382" width="23.5703125" style="2" customWidth="1"/>
    <col min="5383" max="5630" width="8.85546875" style="2"/>
    <col min="5631" max="5631" width="5.42578125" style="2" customWidth="1"/>
    <col min="5632" max="5632" width="7" style="2" customWidth="1"/>
    <col min="5633" max="5633" width="29" style="2" customWidth="1"/>
    <col min="5634" max="5634" width="7" style="2" bestFit="1" customWidth="1"/>
    <col min="5635" max="5635" width="4.85546875" style="2" bestFit="1" customWidth="1"/>
    <col min="5636" max="5636" width="7.5703125" style="2" bestFit="1" customWidth="1"/>
    <col min="5637" max="5637" width="9.85546875" style="2" customWidth="1"/>
    <col min="5638" max="5638" width="23.5703125" style="2" customWidth="1"/>
    <col min="5639" max="5886" width="8.85546875" style="2"/>
    <col min="5887" max="5887" width="5.42578125" style="2" customWidth="1"/>
    <col min="5888" max="5888" width="7" style="2" customWidth="1"/>
    <col min="5889" max="5889" width="29" style="2" customWidth="1"/>
    <col min="5890" max="5890" width="7" style="2" bestFit="1" customWidth="1"/>
    <col min="5891" max="5891" width="4.85546875" style="2" bestFit="1" customWidth="1"/>
    <col min="5892" max="5892" width="7.5703125" style="2" bestFit="1" customWidth="1"/>
    <col min="5893" max="5893" width="9.85546875" style="2" customWidth="1"/>
    <col min="5894" max="5894" width="23.5703125" style="2" customWidth="1"/>
    <col min="5895" max="6142" width="8.85546875" style="2"/>
    <col min="6143" max="6143" width="5.42578125" style="2" customWidth="1"/>
    <col min="6144" max="6144" width="7" style="2" customWidth="1"/>
    <col min="6145" max="6145" width="29" style="2" customWidth="1"/>
    <col min="6146" max="6146" width="7" style="2" bestFit="1" customWidth="1"/>
    <col min="6147" max="6147" width="4.85546875" style="2" bestFit="1" customWidth="1"/>
    <col min="6148" max="6148" width="7.5703125" style="2" bestFit="1" customWidth="1"/>
    <col min="6149" max="6149" width="9.85546875" style="2" customWidth="1"/>
    <col min="6150" max="6150" width="23.5703125" style="2" customWidth="1"/>
    <col min="6151" max="6398" width="8.85546875" style="2"/>
    <col min="6399" max="6399" width="5.42578125" style="2" customWidth="1"/>
    <col min="6400" max="6400" width="7" style="2" customWidth="1"/>
    <col min="6401" max="6401" width="29" style="2" customWidth="1"/>
    <col min="6402" max="6402" width="7" style="2" bestFit="1" customWidth="1"/>
    <col min="6403" max="6403" width="4.85546875" style="2" bestFit="1" customWidth="1"/>
    <col min="6404" max="6404" width="7.5703125" style="2" bestFit="1" customWidth="1"/>
    <col min="6405" max="6405" width="9.85546875" style="2" customWidth="1"/>
    <col min="6406" max="6406" width="23.5703125" style="2" customWidth="1"/>
    <col min="6407" max="6654" width="8.85546875" style="2"/>
    <col min="6655" max="6655" width="5.42578125" style="2" customWidth="1"/>
    <col min="6656" max="6656" width="7" style="2" customWidth="1"/>
    <col min="6657" max="6657" width="29" style="2" customWidth="1"/>
    <col min="6658" max="6658" width="7" style="2" bestFit="1" customWidth="1"/>
    <col min="6659" max="6659" width="4.85546875" style="2" bestFit="1" customWidth="1"/>
    <col min="6660" max="6660" width="7.5703125" style="2" bestFit="1" customWidth="1"/>
    <col min="6661" max="6661" width="9.85546875" style="2" customWidth="1"/>
    <col min="6662" max="6662" width="23.5703125" style="2" customWidth="1"/>
    <col min="6663" max="6910" width="8.85546875" style="2"/>
    <col min="6911" max="6911" width="5.42578125" style="2" customWidth="1"/>
    <col min="6912" max="6912" width="7" style="2" customWidth="1"/>
    <col min="6913" max="6913" width="29" style="2" customWidth="1"/>
    <col min="6914" max="6914" width="7" style="2" bestFit="1" customWidth="1"/>
    <col min="6915" max="6915" width="4.85546875" style="2" bestFit="1" customWidth="1"/>
    <col min="6916" max="6916" width="7.5703125" style="2" bestFit="1" customWidth="1"/>
    <col min="6917" max="6917" width="9.85546875" style="2" customWidth="1"/>
    <col min="6918" max="6918" width="23.5703125" style="2" customWidth="1"/>
    <col min="6919" max="7166" width="8.85546875" style="2"/>
    <col min="7167" max="7167" width="5.42578125" style="2" customWidth="1"/>
    <col min="7168" max="7168" width="7" style="2" customWidth="1"/>
    <col min="7169" max="7169" width="29" style="2" customWidth="1"/>
    <col min="7170" max="7170" width="7" style="2" bestFit="1" customWidth="1"/>
    <col min="7171" max="7171" width="4.85546875" style="2" bestFit="1" customWidth="1"/>
    <col min="7172" max="7172" width="7.5703125" style="2" bestFit="1" customWidth="1"/>
    <col min="7173" max="7173" width="9.85546875" style="2" customWidth="1"/>
    <col min="7174" max="7174" width="23.5703125" style="2" customWidth="1"/>
    <col min="7175" max="7422" width="8.85546875" style="2"/>
    <col min="7423" max="7423" width="5.42578125" style="2" customWidth="1"/>
    <col min="7424" max="7424" width="7" style="2" customWidth="1"/>
    <col min="7425" max="7425" width="29" style="2" customWidth="1"/>
    <col min="7426" max="7426" width="7" style="2" bestFit="1" customWidth="1"/>
    <col min="7427" max="7427" width="4.85546875" style="2" bestFit="1" customWidth="1"/>
    <col min="7428" max="7428" width="7.5703125" style="2" bestFit="1" customWidth="1"/>
    <col min="7429" max="7429" width="9.85546875" style="2" customWidth="1"/>
    <col min="7430" max="7430" width="23.5703125" style="2" customWidth="1"/>
    <col min="7431" max="7678" width="8.85546875" style="2"/>
    <col min="7679" max="7679" width="5.42578125" style="2" customWidth="1"/>
    <col min="7680" max="7680" width="7" style="2" customWidth="1"/>
    <col min="7681" max="7681" width="29" style="2" customWidth="1"/>
    <col min="7682" max="7682" width="7" style="2" bestFit="1" customWidth="1"/>
    <col min="7683" max="7683" width="4.85546875" style="2" bestFit="1" customWidth="1"/>
    <col min="7684" max="7684" width="7.5703125" style="2" bestFit="1" customWidth="1"/>
    <col min="7685" max="7685" width="9.85546875" style="2" customWidth="1"/>
    <col min="7686" max="7686" width="23.5703125" style="2" customWidth="1"/>
    <col min="7687" max="7934" width="8.85546875" style="2"/>
    <col min="7935" max="7935" width="5.42578125" style="2" customWidth="1"/>
    <col min="7936" max="7936" width="7" style="2" customWidth="1"/>
    <col min="7937" max="7937" width="29" style="2" customWidth="1"/>
    <col min="7938" max="7938" width="7" style="2" bestFit="1" customWidth="1"/>
    <col min="7939" max="7939" width="4.85546875" style="2" bestFit="1" customWidth="1"/>
    <col min="7940" max="7940" width="7.5703125" style="2" bestFit="1" customWidth="1"/>
    <col min="7941" max="7941" width="9.85546875" style="2" customWidth="1"/>
    <col min="7942" max="7942" width="23.5703125" style="2" customWidth="1"/>
    <col min="7943" max="8190" width="8.85546875" style="2"/>
    <col min="8191" max="8191" width="5.42578125" style="2" customWidth="1"/>
    <col min="8192" max="8192" width="7" style="2" customWidth="1"/>
    <col min="8193" max="8193" width="29" style="2" customWidth="1"/>
    <col min="8194" max="8194" width="7" style="2" bestFit="1" customWidth="1"/>
    <col min="8195" max="8195" width="4.85546875" style="2" bestFit="1" customWidth="1"/>
    <col min="8196" max="8196" width="7.5703125" style="2" bestFit="1" customWidth="1"/>
    <col min="8197" max="8197" width="9.85546875" style="2" customWidth="1"/>
    <col min="8198" max="8198" width="23.5703125" style="2" customWidth="1"/>
    <col min="8199" max="8446" width="8.85546875" style="2"/>
    <col min="8447" max="8447" width="5.42578125" style="2" customWidth="1"/>
    <col min="8448" max="8448" width="7" style="2" customWidth="1"/>
    <col min="8449" max="8449" width="29" style="2" customWidth="1"/>
    <col min="8450" max="8450" width="7" style="2" bestFit="1" customWidth="1"/>
    <col min="8451" max="8451" width="4.85546875" style="2" bestFit="1" customWidth="1"/>
    <col min="8452" max="8452" width="7.5703125" style="2" bestFit="1" customWidth="1"/>
    <col min="8453" max="8453" width="9.85546875" style="2" customWidth="1"/>
    <col min="8454" max="8454" width="23.5703125" style="2" customWidth="1"/>
    <col min="8455" max="8702" width="8.85546875" style="2"/>
    <col min="8703" max="8703" width="5.42578125" style="2" customWidth="1"/>
    <col min="8704" max="8704" width="7" style="2" customWidth="1"/>
    <col min="8705" max="8705" width="29" style="2" customWidth="1"/>
    <col min="8706" max="8706" width="7" style="2" bestFit="1" customWidth="1"/>
    <col min="8707" max="8707" width="4.85546875" style="2" bestFit="1" customWidth="1"/>
    <col min="8708" max="8708" width="7.5703125" style="2" bestFit="1" customWidth="1"/>
    <col min="8709" max="8709" width="9.85546875" style="2" customWidth="1"/>
    <col min="8710" max="8710" width="23.5703125" style="2" customWidth="1"/>
    <col min="8711" max="8958" width="8.85546875" style="2"/>
    <col min="8959" max="8959" width="5.42578125" style="2" customWidth="1"/>
    <col min="8960" max="8960" width="7" style="2" customWidth="1"/>
    <col min="8961" max="8961" width="29" style="2" customWidth="1"/>
    <col min="8962" max="8962" width="7" style="2" bestFit="1" customWidth="1"/>
    <col min="8963" max="8963" width="4.85546875" style="2" bestFit="1" customWidth="1"/>
    <col min="8964" max="8964" width="7.5703125" style="2" bestFit="1" customWidth="1"/>
    <col min="8965" max="8965" width="9.85546875" style="2" customWidth="1"/>
    <col min="8966" max="8966" width="23.5703125" style="2" customWidth="1"/>
    <col min="8967" max="9214" width="8.85546875" style="2"/>
    <col min="9215" max="9215" width="5.42578125" style="2" customWidth="1"/>
    <col min="9216" max="9216" width="7" style="2" customWidth="1"/>
    <col min="9217" max="9217" width="29" style="2" customWidth="1"/>
    <col min="9218" max="9218" width="7" style="2" bestFit="1" customWidth="1"/>
    <col min="9219" max="9219" width="4.85546875" style="2" bestFit="1" customWidth="1"/>
    <col min="9220" max="9220" width="7.5703125" style="2" bestFit="1" customWidth="1"/>
    <col min="9221" max="9221" width="9.85546875" style="2" customWidth="1"/>
    <col min="9222" max="9222" width="23.5703125" style="2" customWidth="1"/>
    <col min="9223" max="9470" width="8.85546875" style="2"/>
    <col min="9471" max="9471" width="5.42578125" style="2" customWidth="1"/>
    <col min="9472" max="9472" width="7" style="2" customWidth="1"/>
    <col min="9473" max="9473" width="29" style="2" customWidth="1"/>
    <col min="9474" max="9474" width="7" style="2" bestFit="1" customWidth="1"/>
    <col min="9475" max="9475" width="4.85546875" style="2" bestFit="1" customWidth="1"/>
    <col min="9476" max="9476" width="7.5703125" style="2" bestFit="1" customWidth="1"/>
    <col min="9477" max="9477" width="9.85546875" style="2" customWidth="1"/>
    <col min="9478" max="9478" width="23.5703125" style="2" customWidth="1"/>
    <col min="9479" max="9726" width="8.85546875" style="2"/>
    <col min="9727" max="9727" width="5.42578125" style="2" customWidth="1"/>
    <col min="9728" max="9728" width="7" style="2" customWidth="1"/>
    <col min="9729" max="9729" width="29" style="2" customWidth="1"/>
    <col min="9730" max="9730" width="7" style="2" bestFit="1" customWidth="1"/>
    <col min="9731" max="9731" width="4.85546875" style="2" bestFit="1" customWidth="1"/>
    <col min="9732" max="9732" width="7.5703125" style="2" bestFit="1" customWidth="1"/>
    <col min="9733" max="9733" width="9.85546875" style="2" customWidth="1"/>
    <col min="9734" max="9734" width="23.5703125" style="2" customWidth="1"/>
    <col min="9735" max="9982" width="8.85546875" style="2"/>
    <col min="9983" max="9983" width="5.42578125" style="2" customWidth="1"/>
    <col min="9984" max="9984" width="7" style="2" customWidth="1"/>
    <col min="9985" max="9985" width="29" style="2" customWidth="1"/>
    <col min="9986" max="9986" width="7" style="2" bestFit="1" customWidth="1"/>
    <col min="9987" max="9987" width="4.85546875" style="2" bestFit="1" customWidth="1"/>
    <col min="9988" max="9988" width="7.5703125" style="2" bestFit="1" customWidth="1"/>
    <col min="9989" max="9989" width="9.85546875" style="2" customWidth="1"/>
    <col min="9990" max="9990" width="23.5703125" style="2" customWidth="1"/>
    <col min="9991" max="10238" width="8.85546875" style="2"/>
    <col min="10239" max="10239" width="5.42578125" style="2" customWidth="1"/>
    <col min="10240" max="10240" width="7" style="2" customWidth="1"/>
    <col min="10241" max="10241" width="29" style="2" customWidth="1"/>
    <col min="10242" max="10242" width="7" style="2" bestFit="1" customWidth="1"/>
    <col min="10243" max="10243" width="4.85546875" style="2" bestFit="1" customWidth="1"/>
    <col min="10244" max="10244" width="7.5703125" style="2" bestFit="1" customWidth="1"/>
    <col min="10245" max="10245" width="9.85546875" style="2" customWidth="1"/>
    <col min="10246" max="10246" width="23.5703125" style="2" customWidth="1"/>
    <col min="10247" max="10494" width="8.85546875" style="2"/>
    <col min="10495" max="10495" width="5.42578125" style="2" customWidth="1"/>
    <col min="10496" max="10496" width="7" style="2" customWidth="1"/>
    <col min="10497" max="10497" width="29" style="2" customWidth="1"/>
    <col min="10498" max="10498" width="7" style="2" bestFit="1" customWidth="1"/>
    <col min="10499" max="10499" width="4.85546875" style="2" bestFit="1" customWidth="1"/>
    <col min="10500" max="10500" width="7.5703125" style="2" bestFit="1" customWidth="1"/>
    <col min="10501" max="10501" width="9.85546875" style="2" customWidth="1"/>
    <col min="10502" max="10502" width="23.5703125" style="2" customWidth="1"/>
    <col min="10503" max="10750" width="8.85546875" style="2"/>
    <col min="10751" max="10751" width="5.42578125" style="2" customWidth="1"/>
    <col min="10752" max="10752" width="7" style="2" customWidth="1"/>
    <col min="10753" max="10753" width="29" style="2" customWidth="1"/>
    <col min="10754" max="10754" width="7" style="2" bestFit="1" customWidth="1"/>
    <col min="10755" max="10755" width="4.85546875" style="2" bestFit="1" customWidth="1"/>
    <col min="10756" max="10756" width="7.5703125" style="2" bestFit="1" customWidth="1"/>
    <col min="10757" max="10757" width="9.85546875" style="2" customWidth="1"/>
    <col min="10758" max="10758" width="23.5703125" style="2" customWidth="1"/>
    <col min="10759" max="11006" width="8.85546875" style="2"/>
    <col min="11007" max="11007" width="5.42578125" style="2" customWidth="1"/>
    <col min="11008" max="11008" width="7" style="2" customWidth="1"/>
    <col min="11009" max="11009" width="29" style="2" customWidth="1"/>
    <col min="11010" max="11010" width="7" style="2" bestFit="1" customWidth="1"/>
    <col min="11011" max="11011" width="4.85546875" style="2" bestFit="1" customWidth="1"/>
    <col min="11012" max="11012" width="7.5703125" style="2" bestFit="1" customWidth="1"/>
    <col min="11013" max="11013" width="9.85546875" style="2" customWidth="1"/>
    <col min="11014" max="11014" width="23.5703125" style="2" customWidth="1"/>
    <col min="11015" max="11262" width="8.85546875" style="2"/>
    <col min="11263" max="11263" width="5.42578125" style="2" customWidth="1"/>
    <col min="11264" max="11264" width="7" style="2" customWidth="1"/>
    <col min="11265" max="11265" width="29" style="2" customWidth="1"/>
    <col min="11266" max="11266" width="7" style="2" bestFit="1" customWidth="1"/>
    <col min="11267" max="11267" width="4.85546875" style="2" bestFit="1" customWidth="1"/>
    <col min="11268" max="11268" width="7.5703125" style="2" bestFit="1" customWidth="1"/>
    <col min="11269" max="11269" width="9.85546875" style="2" customWidth="1"/>
    <col min="11270" max="11270" width="23.5703125" style="2" customWidth="1"/>
    <col min="11271" max="11518" width="8.85546875" style="2"/>
    <col min="11519" max="11519" width="5.42578125" style="2" customWidth="1"/>
    <col min="11520" max="11520" width="7" style="2" customWidth="1"/>
    <col min="11521" max="11521" width="29" style="2" customWidth="1"/>
    <col min="11522" max="11522" width="7" style="2" bestFit="1" customWidth="1"/>
    <col min="11523" max="11523" width="4.85546875" style="2" bestFit="1" customWidth="1"/>
    <col min="11524" max="11524" width="7.5703125" style="2" bestFit="1" customWidth="1"/>
    <col min="11525" max="11525" width="9.85546875" style="2" customWidth="1"/>
    <col min="11526" max="11526" width="23.5703125" style="2" customWidth="1"/>
    <col min="11527" max="11774" width="8.85546875" style="2"/>
    <col min="11775" max="11775" width="5.42578125" style="2" customWidth="1"/>
    <col min="11776" max="11776" width="7" style="2" customWidth="1"/>
    <col min="11777" max="11777" width="29" style="2" customWidth="1"/>
    <col min="11778" max="11778" width="7" style="2" bestFit="1" customWidth="1"/>
    <col min="11779" max="11779" width="4.85546875" style="2" bestFit="1" customWidth="1"/>
    <col min="11780" max="11780" width="7.5703125" style="2" bestFit="1" customWidth="1"/>
    <col min="11781" max="11781" width="9.85546875" style="2" customWidth="1"/>
    <col min="11782" max="11782" width="23.5703125" style="2" customWidth="1"/>
    <col min="11783" max="12030" width="8.85546875" style="2"/>
    <col min="12031" max="12031" width="5.42578125" style="2" customWidth="1"/>
    <col min="12032" max="12032" width="7" style="2" customWidth="1"/>
    <col min="12033" max="12033" width="29" style="2" customWidth="1"/>
    <col min="12034" max="12034" width="7" style="2" bestFit="1" customWidth="1"/>
    <col min="12035" max="12035" width="4.85546875" style="2" bestFit="1" customWidth="1"/>
    <col min="12036" max="12036" width="7.5703125" style="2" bestFit="1" customWidth="1"/>
    <col min="12037" max="12037" width="9.85546875" style="2" customWidth="1"/>
    <col min="12038" max="12038" width="23.5703125" style="2" customWidth="1"/>
    <col min="12039" max="12286" width="8.85546875" style="2"/>
    <col min="12287" max="12287" width="5.42578125" style="2" customWidth="1"/>
    <col min="12288" max="12288" width="7" style="2" customWidth="1"/>
    <col min="12289" max="12289" width="29" style="2" customWidth="1"/>
    <col min="12290" max="12290" width="7" style="2" bestFit="1" customWidth="1"/>
    <col min="12291" max="12291" width="4.85546875" style="2" bestFit="1" customWidth="1"/>
    <col min="12292" max="12292" width="7.5703125" style="2" bestFit="1" customWidth="1"/>
    <col min="12293" max="12293" width="9.85546875" style="2" customWidth="1"/>
    <col min="12294" max="12294" width="23.5703125" style="2" customWidth="1"/>
    <col min="12295" max="12542" width="8.85546875" style="2"/>
    <col min="12543" max="12543" width="5.42578125" style="2" customWidth="1"/>
    <col min="12544" max="12544" width="7" style="2" customWidth="1"/>
    <col min="12545" max="12545" width="29" style="2" customWidth="1"/>
    <col min="12546" max="12546" width="7" style="2" bestFit="1" customWidth="1"/>
    <col min="12547" max="12547" width="4.85546875" style="2" bestFit="1" customWidth="1"/>
    <col min="12548" max="12548" width="7.5703125" style="2" bestFit="1" customWidth="1"/>
    <col min="12549" max="12549" width="9.85546875" style="2" customWidth="1"/>
    <col min="12550" max="12550" width="23.5703125" style="2" customWidth="1"/>
    <col min="12551" max="12798" width="8.85546875" style="2"/>
    <col min="12799" max="12799" width="5.42578125" style="2" customWidth="1"/>
    <col min="12800" max="12800" width="7" style="2" customWidth="1"/>
    <col min="12801" max="12801" width="29" style="2" customWidth="1"/>
    <col min="12802" max="12802" width="7" style="2" bestFit="1" customWidth="1"/>
    <col min="12803" max="12803" width="4.85546875" style="2" bestFit="1" customWidth="1"/>
    <col min="12804" max="12804" width="7.5703125" style="2" bestFit="1" customWidth="1"/>
    <col min="12805" max="12805" width="9.85546875" style="2" customWidth="1"/>
    <col min="12806" max="12806" width="23.5703125" style="2" customWidth="1"/>
    <col min="12807" max="13054" width="8.85546875" style="2"/>
    <col min="13055" max="13055" width="5.42578125" style="2" customWidth="1"/>
    <col min="13056" max="13056" width="7" style="2" customWidth="1"/>
    <col min="13057" max="13057" width="29" style="2" customWidth="1"/>
    <col min="13058" max="13058" width="7" style="2" bestFit="1" customWidth="1"/>
    <col min="13059" max="13059" width="4.85546875" style="2" bestFit="1" customWidth="1"/>
    <col min="13060" max="13060" width="7.5703125" style="2" bestFit="1" customWidth="1"/>
    <col min="13061" max="13061" width="9.85546875" style="2" customWidth="1"/>
    <col min="13062" max="13062" width="23.5703125" style="2" customWidth="1"/>
    <col min="13063" max="13310" width="8.85546875" style="2"/>
    <col min="13311" max="13311" width="5.42578125" style="2" customWidth="1"/>
    <col min="13312" max="13312" width="7" style="2" customWidth="1"/>
    <col min="13313" max="13313" width="29" style="2" customWidth="1"/>
    <col min="13314" max="13314" width="7" style="2" bestFit="1" customWidth="1"/>
    <col min="13315" max="13315" width="4.85546875" style="2" bestFit="1" customWidth="1"/>
    <col min="13316" max="13316" width="7.5703125" style="2" bestFit="1" customWidth="1"/>
    <col min="13317" max="13317" width="9.85546875" style="2" customWidth="1"/>
    <col min="13318" max="13318" width="23.5703125" style="2" customWidth="1"/>
    <col min="13319" max="13566" width="8.85546875" style="2"/>
    <col min="13567" max="13567" width="5.42578125" style="2" customWidth="1"/>
    <col min="13568" max="13568" width="7" style="2" customWidth="1"/>
    <col min="13569" max="13569" width="29" style="2" customWidth="1"/>
    <col min="13570" max="13570" width="7" style="2" bestFit="1" customWidth="1"/>
    <col min="13571" max="13571" width="4.85546875" style="2" bestFit="1" customWidth="1"/>
    <col min="13572" max="13572" width="7.5703125" style="2" bestFit="1" customWidth="1"/>
    <col min="13573" max="13573" width="9.85546875" style="2" customWidth="1"/>
    <col min="13574" max="13574" width="23.5703125" style="2" customWidth="1"/>
    <col min="13575" max="13822" width="8.85546875" style="2"/>
    <col min="13823" max="13823" width="5.42578125" style="2" customWidth="1"/>
    <col min="13824" max="13824" width="7" style="2" customWidth="1"/>
    <col min="13825" max="13825" width="29" style="2" customWidth="1"/>
    <col min="13826" max="13826" width="7" style="2" bestFit="1" customWidth="1"/>
    <col min="13827" max="13827" width="4.85546875" style="2" bestFit="1" customWidth="1"/>
    <col min="13828" max="13828" width="7.5703125" style="2" bestFit="1" customWidth="1"/>
    <col min="13829" max="13829" width="9.85546875" style="2" customWidth="1"/>
    <col min="13830" max="13830" width="23.5703125" style="2" customWidth="1"/>
    <col min="13831" max="14078" width="8.85546875" style="2"/>
    <col min="14079" max="14079" width="5.42578125" style="2" customWidth="1"/>
    <col min="14080" max="14080" width="7" style="2" customWidth="1"/>
    <col min="14081" max="14081" width="29" style="2" customWidth="1"/>
    <col min="14082" max="14082" width="7" style="2" bestFit="1" customWidth="1"/>
    <col min="14083" max="14083" width="4.85546875" style="2" bestFit="1" customWidth="1"/>
    <col min="14084" max="14084" width="7.5703125" style="2" bestFit="1" customWidth="1"/>
    <col min="14085" max="14085" width="9.85546875" style="2" customWidth="1"/>
    <col min="14086" max="14086" width="23.5703125" style="2" customWidth="1"/>
    <col min="14087" max="14334" width="8.85546875" style="2"/>
    <col min="14335" max="14335" width="5.42578125" style="2" customWidth="1"/>
    <col min="14336" max="14336" width="7" style="2" customWidth="1"/>
    <col min="14337" max="14337" width="29" style="2" customWidth="1"/>
    <col min="14338" max="14338" width="7" style="2" bestFit="1" customWidth="1"/>
    <col min="14339" max="14339" width="4.85546875" style="2" bestFit="1" customWidth="1"/>
    <col min="14340" max="14340" width="7.5703125" style="2" bestFit="1" customWidth="1"/>
    <col min="14341" max="14341" width="9.85546875" style="2" customWidth="1"/>
    <col min="14342" max="14342" width="23.5703125" style="2" customWidth="1"/>
    <col min="14343" max="14590" width="8.85546875" style="2"/>
    <col min="14591" max="14591" width="5.42578125" style="2" customWidth="1"/>
    <col min="14592" max="14592" width="7" style="2" customWidth="1"/>
    <col min="14593" max="14593" width="29" style="2" customWidth="1"/>
    <col min="14594" max="14594" width="7" style="2" bestFit="1" customWidth="1"/>
    <col min="14595" max="14595" width="4.85546875" style="2" bestFit="1" customWidth="1"/>
    <col min="14596" max="14596" width="7.5703125" style="2" bestFit="1" customWidth="1"/>
    <col min="14597" max="14597" width="9.85546875" style="2" customWidth="1"/>
    <col min="14598" max="14598" width="23.5703125" style="2" customWidth="1"/>
    <col min="14599" max="14846" width="8.85546875" style="2"/>
    <col min="14847" max="14847" width="5.42578125" style="2" customWidth="1"/>
    <col min="14848" max="14848" width="7" style="2" customWidth="1"/>
    <col min="14849" max="14849" width="29" style="2" customWidth="1"/>
    <col min="14850" max="14850" width="7" style="2" bestFit="1" customWidth="1"/>
    <col min="14851" max="14851" width="4.85546875" style="2" bestFit="1" customWidth="1"/>
    <col min="14852" max="14852" width="7.5703125" style="2" bestFit="1" customWidth="1"/>
    <col min="14853" max="14853" width="9.85546875" style="2" customWidth="1"/>
    <col min="14854" max="14854" width="23.5703125" style="2" customWidth="1"/>
    <col min="14855" max="15102" width="8.85546875" style="2"/>
    <col min="15103" max="15103" width="5.42578125" style="2" customWidth="1"/>
    <col min="15104" max="15104" width="7" style="2" customWidth="1"/>
    <col min="15105" max="15105" width="29" style="2" customWidth="1"/>
    <col min="15106" max="15106" width="7" style="2" bestFit="1" customWidth="1"/>
    <col min="15107" max="15107" width="4.85546875" style="2" bestFit="1" customWidth="1"/>
    <col min="15108" max="15108" width="7.5703125" style="2" bestFit="1" customWidth="1"/>
    <col min="15109" max="15109" width="9.85546875" style="2" customWidth="1"/>
    <col min="15110" max="15110" width="23.5703125" style="2" customWidth="1"/>
    <col min="15111" max="15358" width="8.85546875" style="2"/>
    <col min="15359" max="15359" width="5.42578125" style="2" customWidth="1"/>
    <col min="15360" max="15360" width="7" style="2" customWidth="1"/>
    <col min="15361" max="15361" width="29" style="2" customWidth="1"/>
    <col min="15362" max="15362" width="7" style="2" bestFit="1" customWidth="1"/>
    <col min="15363" max="15363" width="4.85546875" style="2" bestFit="1" customWidth="1"/>
    <col min="15364" max="15364" width="7.5703125" style="2" bestFit="1" customWidth="1"/>
    <col min="15365" max="15365" width="9.85546875" style="2" customWidth="1"/>
    <col min="15366" max="15366" width="23.5703125" style="2" customWidth="1"/>
    <col min="15367" max="15614" width="8.85546875" style="2"/>
    <col min="15615" max="15615" width="5.42578125" style="2" customWidth="1"/>
    <col min="15616" max="15616" width="7" style="2" customWidth="1"/>
    <col min="15617" max="15617" width="29" style="2" customWidth="1"/>
    <col min="15618" max="15618" width="7" style="2" bestFit="1" customWidth="1"/>
    <col min="15619" max="15619" width="4.85546875" style="2" bestFit="1" customWidth="1"/>
    <col min="15620" max="15620" width="7.5703125" style="2" bestFit="1" customWidth="1"/>
    <col min="15621" max="15621" width="9.85546875" style="2" customWidth="1"/>
    <col min="15622" max="15622" width="23.5703125" style="2" customWidth="1"/>
    <col min="15623" max="15870" width="8.85546875" style="2"/>
    <col min="15871" max="15871" width="5.42578125" style="2" customWidth="1"/>
    <col min="15872" max="15872" width="7" style="2" customWidth="1"/>
    <col min="15873" max="15873" width="29" style="2" customWidth="1"/>
    <col min="15874" max="15874" width="7" style="2" bestFit="1" customWidth="1"/>
    <col min="15875" max="15875" width="4.85546875" style="2" bestFit="1" customWidth="1"/>
    <col min="15876" max="15876" width="7.5703125" style="2" bestFit="1" customWidth="1"/>
    <col min="15877" max="15877" width="9.85546875" style="2" customWidth="1"/>
    <col min="15878" max="15878" width="23.5703125" style="2" customWidth="1"/>
    <col min="15879" max="16126" width="8.85546875" style="2"/>
    <col min="16127" max="16127" width="5.42578125" style="2" customWidth="1"/>
    <col min="16128" max="16128" width="7" style="2" customWidth="1"/>
    <col min="16129" max="16129" width="29" style="2" customWidth="1"/>
    <col min="16130" max="16130" width="7" style="2" bestFit="1" customWidth="1"/>
    <col min="16131" max="16131" width="4.85546875" style="2" bestFit="1" customWidth="1"/>
    <col min="16132" max="16132" width="7.5703125" style="2" bestFit="1" customWidth="1"/>
    <col min="16133" max="16133" width="9.85546875" style="2" customWidth="1"/>
    <col min="16134" max="16134" width="23.5703125" style="2" customWidth="1"/>
    <col min="16135" max="16384" width="8.85546875" style="2"/>
  </cols>
  <sheetData>
    <row r="1" spans="1:8">
      <c r="A1" s="13"/>
      <c r="B1" s="13"/>
      <c r="C1" s="13"/>
      <c r="D1" s="17" t="s">
        <v>103</v>
      </c>
      <c r="E1" s="13"/>
    </row>
    <row r="2" spans="1:8">
      <c r="A2" s="5" t="s">
        <v>92</v>
      </c>
      <c r="B2" s="5"/>
      <c r="C2" s="5" t="s">
        <v>77</v>
      </c>
      <c r="D2" s="5"/>
      <c r="E2" s="5"/>
      <c r="F2" s="5"/>
      <c r="G2" s="5"/>
      <c r="H2" s="5"/>
    </row>
    <row r="3" spans="1:8">
      <c r="A3" s="18" t="s">
        <v>83</v>
      </c>
      <c r="B3" s="1"/>
      <c r="C3" s="3"/>
      <c r="D3" s="2" t="s">
        <v>84</v>
      </c>
    </row>
    <row r="4" spans="1:8">
      <c r="A4" s="2" t="s">
        <v>104</v>
      </c>
      <c r="B4" s="1"/>
      <c r="C4" s="3"/>
      <c r="D4" s="2" t="s">
        <v>91</v>
      </c>
    </row>
    <row r="5" spans="1:8" ht="13.5" customHeight="1"/>
    <row r="6" spans="1:8" s="1" customFormat="1" ht="36">
      <c r="A6" s="19" t="s">
        <v>18</v>
      </c>
      <c r="B6" s="19" t="s">
        <v>102</v>
      </c>
      <c r="C6" s="19" t="s">
        <v>101</v>
      </c>
      <c r="D6" s="19" t="s">
        <v>100</v>
      </c>
      <c r="E6" s="19"/>
      <c r="F6" s="19" t="s">
        <v>4</v>
      </c>
      <c r="G6" s="19" t="s">
        <v>5</v>
      </c>
      <c r="H6" s="19" t="s">
        <v>17</v>
      </c>
    </row>
    <row r="7" spans="1:8">
      <c r="A7" s="20" t="s">
        <v>94</v>
      </c>
      <c r="B7" s="19"/>
      <c r="C7" s="21" t="s">
        <v>82</v>
      </c>
      <c r="D7" s="15">
        <v>2</v>
      </c>
      <c r="E7" s="15" t="s">
        <v>6</v>
      </c>
      <c r="F7" s="22">
        <v>5075</v>
      </c>
      <c r="G7" s="39">
        <f>IF(ISBLANK(D7),"",ROUND(D7*F7,0))</f>
        <v>10150</v>
      </c>
      <c r="H7" s="23"/>
    </row>
    <row r="8" spans="1:8">
      <c r="A8" s="20" t="s">
        <v>95</v>
      </c>
      <c r="B8" s="19"/>
      <c r="C8" s="21" t="s">
        <v>80</v>
      </c>
      <c r="D8" s="15">
        <v>4</v>
      </c>
      <c r="E8" s="15" t="s">
        <v>6</v>
      </c>
      <c r="F8" s="22">
        <v>107</v>
      </c>
      <c r="G8" s="39">
        <f t="shared" ref="G8:G15" si="0">IF(ISBLANK(D8),"",ROUND(D8*F8,0))</f>
        <v>428</v>
      </c>
      <c r="H8" s="23"/>
    </row>
    <row r="9" spans="1:8">
      <c r="A9" s="20" t="s">
        <v>96</v>
      </c>
      <c r="B9" s="19"/>
      <c r="C9" s="21" t="s">
        <v>81</v>
      </c>
      <c r="D9" s="15">
        <v>5</v>
      </c>
      <c r="E9" s="15" t="s">
        <v>6</v>
      </c>
      <c r="F9" s="22">
        <v>176</v>
      </c>
      <c r="G9" s="39">
        <f t="shared" si="0"/>
        <v>880</v>
      </c>
      <c r="H9" s="23"/>
    </row>
    <row r="10" spans="1:8" ht="72">
      <c r="A10" s="20" t="s">
        <v>97</v>
      </c>
      <c r="B10" s="19"/>
      <c r="C10" s="21" t="s">
        <v>79</v>
      </c>
      <c r="D10" s="15">
        <v>5</v>
      </c>
      <c r="E10" s="15" t="s">
        <v>6</v>
      </c>
      <c r="F10" s="22">
        <v>345</v>
      </c>
      <c r="G10" s="39">
        <f t="shared" si="0"/>
        <v>1725</v>
      </c>
      <c r="H10" s="23"/>
    </row>
    <row r="11" spans="1:8">
      <c r="A11" s="20" t="s">
        <v>98</v>
      </c>
      <c r="B11" s="19"/>
      <c r="C11" s="21" t="s">
        <v>80</v>
      </c>
      <c r="D11" s="15">
        <v>4</v>
      </c>
      <c r="E11" s="15" t="s">
        <v>6</v>
      </c>
      <c r="F11" s="22">
        <v>107</v>
      </c>
      <c r="G11" s="39">
        <f t="shared" si="0"/>
        <v>428</v>
      </c>
      <c r="H11" s="23"/>
    </row>
    <row r="12" spans="1:8">
      <c r="A12" s="20" t="s">
        <v>95</v>
      </c>
      <c r="B12" s="19"/>
      <c r="C12" s="21" t="s">
        <v>80</v>
      </c>
      <c r="D12" s="15">
        <v>4</v>
      </c>
      <c r="E12" s="15" t="s">
        <v>6</v>
      </c>
      <c r="F12" s="22">
        <v>107</v>
      </c>
      <c r="G12" s="39">
        <f t="shared" ref="G12:G14" si="1">IF(ISBLANK(D12),"",ROUND(D12*F12,0))</f>
        <v>428</v>
      </c>
      <c r="H12" s="23"/>
    </row>
    <row r="13" spans="1:8">
      <c r="A13" s="20" t="s">
        <v>96</v>
      </c>
      <c r="B13" s="19"/>
      <c r="C13" s="21" t="s">
        <v>81</v>
      </c>
      <c r="D13" s="15">
        <v>5</v>
      </c>
      <c r="E13" s="15" t="s">
        <v>6</v>
      </c>
      <c r="F13" s="22">
        <v>176</v>
      </c>
      <c r="G13" s="39">
        <f t="shared" si="1"/>
        <v>880</v>
      </c>
      <c r="H13" s="23"/>
    </row>
    <row r="14" spans="1:8" ht="72">
      <c r="A14" s="20" t="s">
        <v>97</v>
      </c>
      <c r="B14" s="19"/>
      <c r="C14" s="21" t="s">
        <v>79</v>
      </c>
      <c r="D14" s="15">
        <v>5</v>
      </c>
      <c r="E14" s="15" t="s">
        <v>6</v>
      </c>
      <c r="F14" s="22">
        <v>345</v>
      </c>
      <c r="G14" s="39">
        <f t="shared" si="1"/>
        <v>1725</v>
      </c>
      <c r="H14" s="23"/>
    </row>
    <row r="15" spans="1:8">
      <c r="A15" s="20" t="s">
        <v>99</v>
      </c>
      <c r="B15" s="19"/>
      <c r="C15" s="21" t="s">
        <v>81</v>
      </c>
      <c r="D15" s="15">
        <v>5</v>
      </c>
      <c r="E15" s="15" t="s">
        <v>6</v>
      </c>
      <c r="F15" s="22">
        <v>176</v>
      </c>
      <c r="G15" s="39">
        <f t="shared" si="0"/>
        <v>880</v>
      </c>
      <c r="H15" s="23"/>
    </row>
    <row r="16" spans="1:8">
      <c r="A16" s="85"/>
      <c r="B16" s="86"/>
      <c r="C16" s="87"/>
      <c r="D16" s="88"/>
      <c r="E16" s="88"/>
      <c r="F16" s="89"/>
      <c r="G16" s="90"/>
      <c r="H16" s="91"/>
    </row>
    <row r="17" spans="1:8">
      <c r="A17" s="20" t="s">
        <v>93</v>
      </c>
      <c r="B17" s="19"/>
      <c r="C17" s="21" t="s">
        <v>72</v>
      </c>
      <c r="D17" s="15"/>
      <c r="E17" s="15" t="s">
        <v>93</v>
      </c>
      <c r="F17" s="22" t="s">
        <v>93</v>
      </c>
      <c r="G17" s="40">
        <f>SUM(G7:G15)</f>
        <v>17524</v>
      </c>
      <c r="H17" s="23"/>
    </row>
    <row r="18" spans="1:8" s="24" customFormat="1">
      <c r="A18" s="37"/>
      <c r="B18" s="37"/>
      <c r="C18" s="11" t="s">
        <v>169</v>
      </c>
      <c r="D18" s="47">
        <f>'Work Order'!E20</f>
        <v>4</v>
      </c>
      <c r="E18" s="46" t="s">
        <v>168</v>
      </c>
      <c r="F18" s="38" t="str">
        <f>'Work Order'!G20</f>
        <v>ABOVE</v>
      </c>
      <c r="G18" s="39">
        <f>IF(F18= "Above",ROUND(G17*D18/100,0), -ROUND(G17*D18/100,0))</f>
        <v>701</v>
      </c>
      <c r="H18" s="37"/>
    </row>
    <row r="19" spans="1:8" s="24" customFormat="1">
      <c r="A19" s="37"/>
      <c r="B19" s="37"/>
      <c r="C19" s="37" t="s">
        <v>164</v>
      </c>
      <c r="D19" s="37"/>
      <c r="E19" s="11"/>
      <c r="F19" s="37"/>
      <c r="G19" s="48">
        <f>IF(F18="above", G17+G18, IF(F18="below", G17+G18, G17+0))</f>
        <v>18225</v>
      </c>
      <c r="H19" s="37"/>
    </row>
    <row r="20" spans="1:8">
      <c r="A20" s="14"/>
      <c r="B20" s="1"/>
      <c r="C20" s="3"/>
    </row>
    <row r="21" spans="1:8">
      <c r="A21" s="14"/>
      <c r="B21" s="1"/>
      <c r="C21" s="3"/>
    </row>
    <row r="22" spans="1:8">
      <c r="A22" s="14"/>
      <c r="B22" s="1"/>
      <c r="C22" s="3"/>
    </row>
    <row r="23" spans="1:8">
      <c r="A23" s="14"/>
      <c r="B23" s="1"/>
      <c r="C23" s="3"/>
    </row>
    <row r="24" spans="1:8">
      <c r="A24" s="14"/>
      <c r="B24" s="1"/>
      <c r="C24" s="3"/>
    </row>
    <row r="25" spans="1:8">
      <c r="A25" s="14"/>
      <c r="B25" s="1"/>
      <c r="C25" s="3"/>
    </row>
    <row r="26" spans="1:8">
      <c r="A26" s="14"/>
      <c r="B26" s="1"/>
      <c r="C26" s="3"/>
    </row>
    <row r="27" spans="1:8">
      <c r="A27" s="14"/>
      <c r="B27" s="1"/>
      <c r="C27" s="3"/>
    </row>
    <row r="28" spans="1:8">
      <c r="A28" s="14"/>
      <c r="B28" s="1"/>
      <c r="C28" s="3"/>
    </row>
    <row r="29" spans="1:8">
      <c r="A29" s="14"/>
      <c r="B29" s="1"/>
      <c r="C29" s="3"/>
    </row>
    <row r="30" spans="1:8">
      <c r="A30" s="14"/>
      <c r="B30" s="3"/>
      <c r="C30" s="3"/>
    </row>
    <row r="31" spans="1:8">
      <c r="A31" s="14"/>
      <c r="B31" s="3"/>
      <c r="C31" s="3"/>
    </row>
    <row r="32" spans="1:8">
      <c r="A32" s="14"/>
      <c r="B32" s="3"/>
      <c r="C32" s="3"/>
    </row>
    <row r="33" spans="1:3">
      <c r="A33" s="14"/>
      <c r="B33" s="3"/>
      <c r="C33" s="3"/>
    </row>
    <row r="34" spans="1:3">
      <c r="A34" s="14"/>
      <c r="B34" s="3"/>
      <c r="C34" s="3"/>
    </row>
    <row r="35" spans="1:3">
      <c r="A35" s="14"/>
      <c r="B35" s="3"/>
      <c r="C35" s="3"/>
    </row>
    <row r="36" spans="1:3">
      <c r="A36" s="14"/>
      <c r="B36" s="3"/>
      <c r="C36" s="3"/>
    </row>
    <row r="37" spans="1:3">
      <c r="A37" s="14"/>
      <c r="B37" s="3"/>
      <c r="C37" s="3"/>
    </row>
    <row r="38" spans="1:3">
      <c r="A38" s="14"/>
      <c r="B38" s="3"/>
      <c r="C38" s="3"/>
    </row>
    <row r="39" spans="1:3">
      <c r="A39" s="14"/>
      <c r="B39" s="3"/>
      <c r="C39" s="3"/>
    </row>
    <row r="40" spans="1:3">
      <c r="A40" s="14"/>
      <c r="B40" s="3"/>
      <c r="C40" s="3"/>
    </row>
    <row r="41" spans="1:3">
      <c r="A41" s="14"/>
      <c r="B41" s="3"/>
      <c r="C41" s="3"/>
    </row>
    <row r="42" spans="1:3">
      <c r="A42" s="14"/>
      <c r="B42" s="3"/>
      <c r="C42" s="3"/>
    </row>
    <row r="43" spans="1:3">
      <c r="A43" s="14"/>
      <c r="B43" s="3"/>
      <c r="C43" s="3"/>
    </row>
    <row r="44" spans="1:3">
      <c r="A44" s="14"/>
      <c r="B44" s="3"/>
      <c r="C44" s="3"/>
    </row>
    <row r="45" spans="1:3">
      <c r="A45" s="14"/>
      <c r="B45" s="3"/>
      <c r="C45" s="3"/>
    </row>
    <row r="46" spans="1:3">
      <c r="A46" s="14"/>
      <c r="B46" s="3"/>
      <c r="C46" s="3"/>
    </row>
    <row r="47" spans="1:3">
      <c r="A47" s="14"/>
      <c r="B47" s="3"/>
      <c r="C47" s="3"/>
    </row>
    <row r="48" spans="1:3">
      <c r="A48" s="14"/>
      <c r="B48" s="3"/>
      <c r="C48" s="3"/>
    </row>
    <row r="49" spans="1:3">
      <c r="A49" s="14"/>
      <c r="B49" s="3"/>
      <c r="C49" s="3"/>
    </row>
    <row r="50" spans="1:3">
      <c r="A50" s="14"/>
      <c r="B50" s="3"/>
      <c r="C50" s="3"/>
    </row>
    <row r="51" spans="1:3">
      <c r="A51" s="14"/>
      <c r="B51" s="3"/>
      <c r="C51" s="3"/>
    </row>
    <row r="52" spans="1:3">
      <c r="A52" s="14"/>
      <c r="B52" s="3"/>
      <c r="C52" s="3"/>
    </row>
    <row r="53" spans="1:3">
      <c r="A53" s="14"/>
      <c r="B53" s="3"/>
      <c r="C53" s="3"/>
    </row>
    <row r="54" spans="1:3">
      <c r="A54" s="14"/>
      <c r="B54" s="3"/>
      <c r="C54" s="3"/>
    </row>
    <row r="55" spans="1:3">
      <c r="A55" s="14"/>
      <c r="B55" s="3"/>
      <c r="C55" s="3"/>
    </row>
    <row r="56" spans="1:3">
      <c r="A56" s="14"/>
      <c r="B56" s="3"/>
      <c r="C56" s="3"/>
    </row>
    <row r="57" spans="1:3">
      <c r="A57" s="14"/>
      <c r="B57" s="3"/>
      <c r="C57" s="3"/>
    </row>
    <row r="58" spans="1:3">
      <c r="A58" s="14"/>
      <c r="B58" s="3"/>
      <c r="C58" s="3"/>
    </row>
    <row r="59" spans="1:3">
      <c r="A59" s="14"/>
      <c r="B59" s="3"/>
      <c r="C59" s="3"/>
    </row>
    <row r="60" spans="1:3">
      <c r="A60" s="14"/>
      <c r="B60" s="3"/>
      <c r="C60" s="3"/>
    </row>
    <row r="61" spans="1:3">
      <c r="A61" s="14"/>
      <c r="B61" s="3"/>
      <c r="C61" s="3"/>
    </row>
    <row r="62" spans="1:3">
      <c r="A62" s="14"/>
      <c r="B62" s="3"/>
      <c r="C62" s="3"/>
    </row>
    <row r="63" spans="1:3">
      <c r="A63" s="14"/>
      <c r="B63" s="3"/>
      <c r="C63" s="3"/>
    </row>
    <row r="64" spans="1:3">
      <c r="A64" s="14"/>
      <c r="B64" s="3"/>
      <c r="C64" s="3"/>
    </row>
    <row r="65" spans="1:3">
      <c r="A65" s="14"/>
      <c r="B65" s="3"/>
      <c r="C65" s="3"/>
    </row>
    <row r="66" spans="1:3">
      <c r="A66" s="14"/>
      <c r="B66" s="3"/>
      <c r="C66" s="3"/>
    </row>
    <row r="67" spans="1:3">
      <c r="A67" s="14"/>
      <c r="B67" s="3"/>
      <c r="C67" s="3"/>
    </row>
    <row r="68" spans="1:3">
      <c r="A68" s="14"/>
      <c r="B68" s="3"/>
      <c r="C68" s="3"/>
    </row>
    <row r="69" spans="1:3">
      <c r="A69" s="14"/>
      <c r="B69" s="3"/>
      <c r="C69" s="3"/>
    </row>
    <row r="70" spans="1:3">
      <c r="A70" s="14"/>
      <c r="B70" s="3"/>
      <c r="C70" s="3"/>
    </row>
    <row r="71" spans="1:3">
      <c r="A71" s="14"/>
      <c r="B71" s="3"/>
      <c r="C71" s="3"/>
    </row>
    <row r="72" spans="1:3">
      <c r="A72" s="14"/>
      <c r="B72" s="3"/>
      <c r="C72" s="3"/>
    </row>
    <row r="73" spans="1:3">
      <c r="A73" s="14"/>
      <c r="B73" s="3"/>
      <c r="C73" s="3"/>
    </row>
    <row r="74" spans="1:3">
      <c r="A74" s="14"/>
      <c r="B74" s="3"/>
      <c r="C74" s="3"/>
    </row>
    <row r="75" spans="1:3">
      <c r="A75" s="14"/>
      <c r="B75" s="3"/>
      <c r="C75" s="3"/>
    </row>
    <row r="76" spans="1:3">
      <c r="A76" s="14"/>
      <c r="B76" s="3"/>
      <c r="C76" s="3"/>
    </row>
    <row r="77" spans="1:3">
      <c r="A77" s="14"/>
      <c r="B77" s="3"/>
      <c r="C77" s="3"/>
    </row>
    <row r="78" spans="1:3">
      <c r="A78" s="14"/>
      <c r="B78" s="3"/>
      <c r="C78" s="3"/>
    </row>
    <row r="79" spans="1:3">
      <c r="B79" s="3"/>
      <c r="C79" s="3"/>
    </row>
    <row r="80" spans="1:3">
      <c r="B80" s="3"/>
      <c r="C80" s="3"/>
    </row>
    <row r="81" spans="2:3">
      <c r="B81" s="3"/>
      <c r="C81" s="3"/>
    </row>
    <row r="82" spans="2:3">
      <c r="B82" s="3"/>
      <c r="C82" s="3"/>
    </row>
    <row r="83" spans="2:3">
      <c r="B83" s="3"/>
      <c r="C83" s="3"/>
    </row>
    <row r="84" spans="2:3">
      <c r="B84" s="3"/>
      <c r="C84" s="3"/>
    </row>
    <row r="85" spans="2:3">
      <c r="B85" s="3"/>
      <c r="C85" s="3"/>
    </row>
  </sheetData>
  <printOptions horizontalCentered="1"/>
  <pageMargins left="0.25" right="0.25" top="0.25" bottom="0.6" header="0.19685039370078738" footer="0.59055118110236215"/>
  <pageSetup paperSize="9" scale="56" fitToHeight="3" orientation="portrait" horizontalDpi="300" verticalDpi="300" r:id="rId1"/>
  <headerFooter alignWithMargins="0">
    <oddFooter>&amp;L&amp;8Prepared at Bapna Agn.</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M60"/>
  <sheetViews>
    <sheetView topLeftCell="A44" workbookViewId="0">
      <selection activeCell="C52" sqref="C52"/>
    </sheetView>
  </sheetViews>
  <sheetFormatPr defaultColWidth="9.140625" defaultRowHeight="12"/>
  <cols>
    <col min="1" max="1" width="4" style="7" bestFit="1" customWidth="1"/>
    <col min="2" max="2" width="62.28515625" style="8" bestFit="1" customWidth="1"/>
    <col min="3" max="3" width="6.140625" style="54" bestFit="1" customWidth="1"/>
    <col min="4" max="4" width="6.7109375" style="54" bestFit="1" customWidth="1"/>
    <col min="5" max="5" width="6.140625" style="7" customWidth="1"/>
    <col min="6" max="6" width="5.7109375" style="7" bestFit="1" customWidth="1"/>
    <col min="7" max="7" width="6.7109375" style="7" bestFit="1" customWidth="1"/>
    <col min="8" max="8" width="6.28515625" style="7" bestFit="1" customWidth="1"/>
    <col min="9" max="9" width="6.7109375" style="7" bestFit="1" customWidth="1"/>
    <col min="10" max="10" width="6.28515625" style="7" bestFit="1" customWidth="1"/>
    <col min="11" max="11" width="6.7109375" style="7" bestFit="1" customWidth="1"/>
    <col min="12" max="12" width="6.28515625" style="7" bestFit="1" customWidth="1"/>
    <col min="13" max="13" width="25.7109375" style="7" customWidth="1"/>
    <col min="14" max="16384" width="9.140625" style="7"/>
  </cols>
  <sheetData>
    <row r="1" spans="1:13" hidden="1">
      <c r="A1" s="54"/>
      <c r="B1" s="100"/>
      <c r="E1" s="54"/>
    </row>
    <row r="2" spans="1:13" s="2" customFormat="1" hidden="1">
      <c r="A2" s="130"/>
      <c r="B2" s="130"/>
      <c r="C2" s="130"/>
      <c r="D2" s="130"/>
      <c r="E2" s="130"/>
      <c r="F2" s="130"/>
      <c r="G2" s="1"/>
      <c r="H2" s="1"/>
      <c r="I2" s="1"/>
      <c r="J2" s="1"/>
      <c r="K2" s="1"/>
      <c r="L2" s="1"/>
    </row>
    <row r="3" spans="1:13" s="2" customFormat="1">
      <c r="A3" s="131" t="s">
        <v>178</v>
      </c>
      <c r="B3" s="131"/>
      <c r="C3" s="131"/>
      <c r="D3" s="131"/>
      <c r="E3" s="131"/>
      <c r="F3" s="131"/>
      <c r="G3" s="131"/>
      <c r="H3" s="131"/>
      <c r="I3" s="131"/>
      <c r="J3" s="131"/>
      <c r="K3" s="131"/>
      <c r="L3" s="131"/>
      <c r="M3" s="131"/>
    </row>
    <row r="4" spans="1:13" s="5" customFormat="1">
      <c r="B4" s="55" t="str">
        <f>'Work Order'!A13</f>
        <v>Agreement No.</v>
      </c>
      <c r="C4" s="137" t="str">
        <f>'Work Order'!E13</f>
        <v>48/2024-25</v>
      </c>
      <c r="D4" s="137"/>
      <c r="E4" s="137"/>
      <c r="F4" s="137"/>
      <c r="G4" s="137"/>
      <c r="H4" s="137"/>
      <c r="I4" s="137"/>
      <c r="J4" s="137"/>
      <c r="K4" s="137"/>
      <c r="L4" s="137"/>
      <c r="M4" s="137"/>
    </row>
    <row r="5" spans="1:13" s="2" customFormat="1" hidden="1">
      <c r="C5" s="3"/>
      <c r="D5" s="13"/>
      <c r="F5" s="5"/>
      <c r="H5" s="5"/>
      <c r="J5" s="5"/>
      <c r="L5" s="5"/>
    </row>
    <row r="6" spans="1:13" s="2" customFormat="1">
      <c r="B6" s="16" t="s">
        <v>83</v>
      </c>
      <c r="C6" s="137" t="str">
        <f>'Work Order'!B7</f>
        <v>M/s Seema Electrical Udaipur</v>
      </c>
      <c r="D6" s="137"/>
      <c r="E6" s="137"/>
      <c r="F6" s="137"/>
      <c r="G6" s="137"/>
      <c r="H6" s="137"/>
      <c r="I6" s="137"/>
      <c r="J6" s="137"/>
      <c r="K6" s="137"/>
      <c r="L6" s="137"/>
      <c r="M6" s="137"/>
    </row>
    <row r="7" spans="1:13" s="2" customFormat="1" hidden="1">
      <c r="B7" s="16"/>
    </row>
    <row r="8" spans="1:13" s="2" customFormat="1">
      <c r="B8" s="16" t="s">
        <v>85</v>
      </c>
      <c r="C8" s="3"/>
      <c r="D8" s="13"/>
      <c r="E8" s="3"/>
      <c r="F8" s="5"/>
      <c r="H8" s="5"/>
      <c r="J8" s="5"/>
      <c r="L8" s="5"/>
    </row>
    <row r="9" spans="1:13" s="2" customFormat="1" hidden="1">
      <c r="B9" s="16"/>
      <c r="C9" s="138" t="str">
        <f>'Work Order'!B9</f>
        <v>Electric Repair and MTC work at Govt. Ambedkar hostel Ambamata, Govardhanvilas, Udaipur</v>
      </c>
      <c r="D9" s="138"/>
      <c r="E9" s="138"/>
      <c r="F9" s="138"/>
      <c r="G9" s="138"/>
      <c r="H9" s="138"/>
      <c r="I9" s="138"/>
      <c r="J9" s="138"/>
      <c r="K9" s="138"/>
      <c r="L9" s="138"/>
      <c r="M9" s="138"/>
    </row>
    <row r="10" spans="1:13" ht="14.45" customHeight="1">
      <c r="A10" s="136" t="s">
        <v>0</v>
      </c>
      <c r="B10" s="136" t="s">
        <v>1</v>
      </c>
      <c r="C10" s="136" t="s">
        <v>2</v>
      </c>
      <c r="D10" s="134" t="s">
        <v>173</v>
      </c>
      <c r="E10" s="134"/>
      <c r="F10" s="134"/>
      <c r="G10" s="134" t="s">
        <v>174</v>
      </c>
      <c r="H10" s="134"/>
      <c r="I10" s="134" t="s">
        <v>175</v>
      </c>
      <c r="J10" s="134"/>
      <c r="K10" s="134" t="s">
        <v>176</v>
      </c>
      <c r="L10" s="134"/>
      <c r="M10" s="135" t="s">
        <v>177</v>
      </c>
    </row>
    <row r="11" spans="1:13" ht="24">
      <c r="A11" s="136"/>
      <c r="B11" s="136"/>
      <c r="C11" s="136"/>
      <c r="D11" s="53" t="s">
        <v>3</v>
      </c>
      <c r="E11" s="9" t="s">
        <v>4</v>
      </c>
      <c r="F11" s="9" t="s">
        <v>5</v>
      </c>
      <c r="G11" s="9" t="s">
        <v>3</v>
      </c>
      <c r="H11" s="9" t="s">
        <v>5</v>
      </c>
      <c r="I11" s="9" t="s">
        <v>3</v>
      </c>
      <c r="J11" s="9" t="s">
        <v>5</v>
      </c>
      <c r="K11" s="9" t="s">
        <v>3</v>
      </c>
      <c r="L11" s="9" t="s">
        <v>5</v>
      </c>
      <c r="M11" s="135"/>
    </row>
    <row r="12" spans="1:13" ht="156">
      <c r="A12" s="98">
        <v>1</v>
      </c>
      <c r="B12" s="97" t="s">
        <v>20</v>
      </c>
      <c r="C12" s="95"/>
      <c r="D12" s="99"/>
      <c r="E12" s="98"/>
      <c r="F12" s="98"/>
      <c r="G12" s="98"/>
      <c r="H12" s="98"/>
      <c r="I12" s="98"/>
      <c r="J12" s="98"/>
      <c r="K12" s="98"/>
      <c r="L12" s="98"/>
      <c r="M12" s="98"/>
    </row>
    <row r="13" spans="1:13" ht="24">
      <c r="A13" s="98"/>
      <c r="B13" s="97" t="s">
        <v>9</v>
      </c>
      <c r="C13" s="95" t="s">
        <v>13</v>
      </c>
      <c r="D13" s="99">
        <v>50</v>
      </c>
      <c r="E13" s="98">
        <v>256</v>
      </c>
      <c r="F13" s="98">
        <v>12800</v>
      </c>
      <c r="G13" s="98">
        <v>52</v>
      </c>
      <c r="H13" s="98">
        <v>13312</v>
      </c>
      <c r="I13" s="98">
        <v>2</v>
      </c>
      <c r="J13" s="98">
        <v>512</v>
      </c>
      <c r="K13" s="98"/>
      <c r="L13" s="98"/>
      <c r="M13" s="98"/>
    </row>
    <row r="14" spans="1:13" ht="24">
      <c r="A14" s="98"/>
      <c r="B14" s="97" t="s">
        <v>10</v>
      </c>
      <c r="C14" s="95" t="s">
        <v>13</v>
      </c>
      <c r="D14" s="99">
        <v>50</v>
      </c>
      <c r="E14" s="98">
        <v>472</v>
      </c>
      <c r="F14" s="98">
        <v>23600</v>
      </c>
      <c r="G14" s="98">
        <v>48</v>
      </c>
      <c r="H14" s="98">
        <v>22656</v>
      </c>
      <c r="I14" s="98"/>
      <c r="J14" s="98"/>
      <c r="K14" s="98">
        <v>2</v>
      </c>
      <c r="L14" s="98">
        <v>944</v>
      </c>
      <c r="M14" s="98"/>
    </row>
    <row r="15" spans="1:13" ht="24">
      <c r="A15" s="98"/>
      <c r="B15" s="97" t="s">
        <v>21</v>
      </c>
      <c r="C15" s="95" t="s">
        <v>13</v>
      </c>
      <c r="D15" s="99">
        <v>50</v>
      </c>
      <c r="E15" s="98">
        <v>662</v>
      </c>
      <c r="F15" s="98">
        <v>33100</v>
      </c>
      <c r="G15" s="98">
        <v>52</v>
      </c>
      <c r="H15" s="98">
        <v>34424</v>
      </c>
      <c r="I15" s="98">
        <v>2</v>
      </c>
      <c r="J15" s="98">
        <v>1324</v>
      </c>
      <c r="K15" s="98"/>
      <c r="L15" s="98"/>
      <c r="M15" s="98"/>
    </row>
    <row r="16" spans="1:13" ht="144">
      <c r="A16" s="98">
        <v>2</v>
      </c>
      <c r="B16" s="97" t="s">
        <v>22</v>
      </c>
      <c r="C16" s="95"/>
      <c r="D16" s="99"/>
      <c r="E16" s="98"/>
      <c r="F16" s="98"/>
      <c r="G16" s="98"/>
      <c r="H16" s="98"/>
      <c r="I16" s="98"/>
      <c r="J16" s="98"/>
      <c r="K16" s="98"/>
      <c r="L16" s="98"/>
      <c r="M16" s="98"/>
    </row>
    <row r="17" spans="1:13" ht="24">
      <c r="A17" s="98"/>
      <c r="B17" s="97" t="s">
        <v>11</v>
      </c>
      <c r="C17" s="95" t="s">
        <v>13</v>
      </c>
      <c r="D17" s="99">
        <v>100</v>
      </c>
      <c r="E17" s="98">
        <v>136</v>
      </c>
      <c r="F17" s="98">
        <v>13600</v>
      </c>
      <c r="G17" s="98">
        <v>102</v>
      </c>
      <c r="H17" s="98">
        <v>13872</v>
      </c>
      <c r="I17" s="98">
        <v>2</v>
      </c>
      <c r="J17" s="98">
        <v>272</v>
      </c>
      <c r="K17" s="98"/>
      <c r="L17" s="98"/>
      <c r="M17" s="98"/>
    </row>
    <row r="18" spans="1:13" ht="72">
      <c r="A18" s="98">
        <v>3</v>
      </c>
      <c r="B18" s="97" t="s">
        <v>23</v>
      </c>
      <c r="C18" s="95" t="s">
        <v>6</v>
      </c>
      <c r="D18" s="99">
        <v>10</v>
      </c>
      <c r="E18" s="98">
        <v>23</v>
      </c>
      <c r="F18" s="98">
        <v>230</v>
      </c>
      <c r="G18" s="98">
        <v>8</v>
      </c>
      <c r="H18" s="98">
        <v>184</v>
      </c>
      <c r="I18" s="98"/>
      <c r="J18" s="98"/>
      <c r="K18" s="98">
        <v>2</v>
      </c>
      <c r="L18" s="98">
        <v>46</v>
      </c>
      <c r="M18" s="98"/>
    </row>
    <row r="19" spans="1:13" ht="72">
      <c r="A19" s="98">
        <v>4</v>
      </c>
      <c r="B19" s="97" t="s">
        <v>24</v>
      </c>
      <c r="C19" s="95" t="s">
        <v>6</v>
      </c>
      <c r="D19" s="99">
        <v>30</v>
      </c>
      <c r="E19" s="98">
        <v>50</v>
      </c>
      <c r="F19" s="98">
        <v>1500</v>
      </c>
      <c r="G19" s="98">
        <v>32</v>
      </c>
      <c r="H19" s="98">
        <v>1600</v>
      </c>
      <c r="I19" s="98">
        <v>2</v>
      </c>
      <c r="J19" s="98">
        <v>100</v>
      </c>
      <c r="K19" s="98"/>
      <c r="L19" s="98"/>
      <c r="M19" s="98"/>
    </row>
    <row r="20" spans="1:13" ht="72">
      <c r="A20" s="98">
        <v>5</v>
      </c>
      <c r="B20" s="97" t="s">
        <v>25</v>
      </c>
      <c r="C20" s="95" t="s">
        <v>6</v>
      </c>
      <c r="D20" s="99">
        <v>10</v>
      </c>
      <c r="E20" s="98">
        <v>33</v>
      </c>
      <c r="F20" s="98">
        <v>330</v>
      </c>
      <c r="G20" s="98">
        <v>22</v>
      </c>
      <c r="H20" s="98">
        <v>726</v>
      </c>
      <c r="I20" s="98">
        <v>12</v>
      </c>
      <c r="J20" s="98">
        <v>396</v>
      </c>
      <c r="K20" s="98"/>
      <c r="L20" s="98"/>
      <c r="M20" s="98"/>
    </row>
    <row r="21" spans="1:13" ht="72">
      <c r="A21" s="98">
        <v>6</v>
      </c>
      <c r="B21" s="97" t="s">
        <v>26</v>
      </c>
      <c r="C21" s="95" t="s">
        <v>6</v>
      </c>
      <c r="D21" s="99">
        <v>10</v>
      </c>
      <c r="E21" s="98">
        <v>78</v>
      </c>
      <c r="F21" s="98">
        <v>780</v>
      </c>
      <c r="G21" s="98">
        <v>36</v>
      </c>
      <c r="H21" s="98">
        <v>2808</v>
      </c>
      <c r="I21" s="98">
        <v>26</v>
      </c>
      <c r="J21" s="98">
        <v>2028</v>
      </c>
      <c r="K21" s="98"/>
      <c r="L21" s="98"/>
      <c r="M21" s="98"/>
    </row>
    <row r="22" spans="1:13" ht="72">
      <c r="A22" s="98">
        <v>7</v>
      </c>
      <c r="B22" s="97" t="s">
        <v>27</v>
      </c>
      <c r="C22" s="95" t="s">
        <v>6</v>
      </c>
      <c r="D22" s="99">
        <v>10</v>
      </c>
      <c r="E22" s="98">
        <v>30</v>
      </c>
      <c r="F22" s="98">
        <v>300</v>
      </c>
      <c r="G22" s="98">
        <v>12</v>
      </c>
      <c r="H22" s="98">
        <v>360</v>
      </c>
      <c r="I22" s="98">
        <v>2</v>
      </c>
      <c r="J22" s="98">
        <v>60</v>
      </c>
      <c r="K22" s="98"/>
      <c r="L22" s="98"/>
      <c r="M22" s="98"/>
    </row>
    <row r="23" spans="1:13" ht="72">
      <c r="A23" s="98">
        <v>8</v>
      </c>
      <c r="B23" s="97" t="s">
        <v>28</v>
      </c>
      <c r="C23" s="95" t="s">
        <v>6</v>
      </c>
      <c r="D23" s="99">
        <v>10</v>
      </c>
      <c r="E23" s="98">
        <v>30</v>
      </c>
      <c r="F23" s="98">
        <v>300</v>
      </c>
      <c r="G23" s="98">
        <v>8</v>
      </c>
      <c r="H23" s="98">
        <v>240</v>
      </c>
      <c r="I23" s="98"/>
      <c r="J23" s="98"/>
      <c r="K23" s="98">
        <v>2</v>
      </c>
      <c r="L23" s="98">
        <v>60</v>
      </c>
      <c r="M23" s="98"/>
    </row>
    <row r="24" spans="1:13" ht="72">
      <c r="A24" s="98">
        <v>9</v>
      </c>
      <c r="B24" s="97" t="s">
        <v>29</v>
      </c>
      <c r="C24" s="95" t="s">
        <v>6</v>
      </c>
      <c r="D24" s="99">
        <v>33</v>
      </c>
      <c r="E24" s="98">
        <v>219</v>
      </c>
      <c r="F24" s="98">
        <v>7227</v>
      </c>
      <c r="G24" s="98">
        <v>0</v>
      </c>
      <c r="H24" s="98">
        <v>0</v>
      </c>
      <c r="I24" s="98"/>
      <c r="J24" s="98"/>
      <c r="K24" s="98">
        <v>33</v>
      </c>
      <c r="L24" s="98">
        <v>7227</v>
      </c>
      <c r="M24" s="98"/>
    </row>
    <row r="25" spans="1:13" ht="96">
      <c r="A25" s="98">
        <v>10</v>
      </c>
      <c r="B25" s="97" t="s">
        <v>30</v>
      </c>
      <c r="C25" s="95" t="s">
        <v>6</v>
      </c>
      <c r="D25" s="99">
        <v>44</v>
      </c>
      <c r="E25" s="98">
        <v>303</v>
      </c>
      <c r="F25" s="98">
        <v>13332</v>
      </c>
      <c r="G25" s="98">
        <v>0</v>
      </c>
      <c r="H25" s="98">
        <v>0</v>
      </c>
      <c r="I25" s="98"/>
      <c r="J25" s="98"/>
      <c r="K25" s="98">
        <v>44</v>
      </c>
      <c r="L25" s="98">
        <v>13332</v>
      </c>
      <c r="M25" s="98"/>
    </row>
    <row r="26" spans="1:13" ht="60">
      <c r="A26" s="98">
        <v>11</v>
      </c>
      <c r="B26" s="97" t="s">
        <v>31</v>
      </c>
      <c r="C26" s="95"/>
      <c r="D26" s="99">
        <v>0</v>
      </c>
      <c r="E26" s="98">
        <v>0</v>
      </c>
      <c r="F26" s="98">
        <v>0</v>
      </c>
      <c r="G26" s="98">
        <v>0</v>
      </c>
      <c r="H26" s="98">
        <v>0</v>
      </c>
      <c r="I26" s="98"/>
      <c r="J26" s="98"/>
      <c r="K26" s="98"/>
      <c r="L26" s="98"/>
      <c r="M26" s="98"/>
    </row>
    <row r="27" spans="1:13">
      <c r="A27" s="98"/>
      <c r="B27" s="97" t="s">
        <v>8</v>
      </c>
      <c r="C27" s="95" t="s">
        <v>32</v>
      </c>
      <c r="D27" s="99">
        <v>300</v>
      </c>
      <c r="E27" s="98">
        <v>40</v>
      </c>
      <c r="F27" s="98">
        <v>12000</v>
      </c>
      <c r="G27" s="98">
        <v>2985</v>
      </c>
      <c r="H27" s="98">
        <v>119400</v>
      </c>
      <c r="I27" s="98">
        <v>2685</v>
      </c>
      <c r="J27" s="98">
        <v>107400</v>
      </c>
      <c r="K27" s="98"/>
      <c r="L27" s="98"/>
      <c r="M27" s="98"/>
    </row>
    <row r="28" spans="1:13">
      <c r="A28" s="98"/>
      <c r="B28" s="97" t="s">
        <v>12</v>
      </c>
      <c r="C28" s="95" t="s">
        <v>32</v>
      </c>
      <c r="D28" s="99">
        <v>100</v>
      </c>
      <c r="E28" s="98">
        <v>56</v>
      </c>
      <c r="F28" s="98">
        <v>5600</v>
      </c>
      <c r="G28" s="98">
        <v>0</v>
      </c>
      <c r="H28" s="98">
        <v>0</v>
      </c>
      <c r="I28" s="98"/>
      <c r="J28" s="98"/>
      <c r="K28" s="98">
        <v>100</v>
      </c>
      <c r="L28" s="98">
        <v>5600</v>
      </c>
      <c r="M28" s="98"/>
    </row>
    <row r="29" spans="1:13" ht="132">
      <c r="A29" s="98">
        <v>12</v>
      </c>
      <c r="B29" s="97" t="s">
        <v>51</v>
      </c>
      <c r="C29" s="95"/>
      <c r="D29" s="99">
        <v>0</v>
      </c>
      <c r="E29" s="98">
        <v>0</v>
      </c>
      <c r="F29" s="98">
        <v>0</v>
      </c>
      <c r="G29" s="98">
        <v>0</v>
      </c>
      <c r="H29" s="98">
        <v>0</v>
      </c>
      <c r="I29" s="98"/>
      <c r="J29" s="98"/>
      <c r="K29" s="98"/>
      <c r="L29" s="98"/>
      <c r="M29" s="98"/>
    </row>
    <row r="30" spans="1:13">
      <c r="A30" s="98"/>
      <c r="B30" s="97" t="s">
        <v>33</v>
      </c>
      <c r="C30" s="95" t="s">
        <v>7</v>
      </c>
      <c r="D30" s="99">
        <v>900</v>
      </c>
      <c r="E30" s="98">
        <v>81</v>
      </c>
      <c r="F30" s="98">
        <v>72900</v>
      </c>
      <c r="G30" s="98">
        <v>9000</v>
      </c>
      <c r="H30" s="98">
        <v>729000</v>
      </c>
      <c r="I30" s="98">
        <v>8100</v>
      </c>
      <c r="J30" s="98">
        <v>656100</v>
      </c>
      <c r="K30" s="98"/>
      <c r="L30" s="98"/>
      <c r="M30" s="98"/>
    </row>
    <row r="31" spans="1:13">
      <c r="A31" s="98"/>
      <c r="B31" s="97" t="s">
        <v>34</v>
      </c>
      <c r="C31" s="95" t="s">
        <v>7</v>
      </c>
      <c r="D31" s="99">
        <v>180</v>
      </c>
      <c r="E31" s="98">
        <v>122</v>
      </c>
      <c r="F31" s="98">
        <v>21960</v>
      </c>
      <c r="G31" s="98">
        <v>0</v>
      </c>
      <c r="H31" s="98">
        <v>0</v>
      </c>
      <c r="I31" s="98"/>
      <c r="J31" s="98"/>
      <c r="K31" s="98">
        <v>180</v>
      </c>
      <c r="L31" s="98">
        <v>21960</v>
      </c>
      <c r="M31" s="98"/>
    </row>
    <row r="32" spans="1:13" ht="144">
      <c r="A32" s="98">
        <v>13</v>
      </c>
      <c r="B32" s="97" t="s">
        <v>35</v>
      </c>
      <c r="C32" s="95" t="s">
        <v>14</v>
      </c>
      <c r="D32" s="99">
        <v>4</v>
      </c>
      <c r="E32" s="98">
        <v>5733</v>
      </c>
      <c r="F32" s="98">
        <v>22932</v>
      </c>
      <c r="G32" s="98">
        <v>0</v>
      </c>
      <c r="H32" s="98">
        <v>0</v>
      </c>
      <c r="I32" s="98"/>
      <c r="J32" s="98"/>
      <c r="K32" s="98">
        <v>4</v>
      </c>
      <c r="L32" s="98">
        <v>22932</v>
      </c>
      <c r="M32" s="98"/>
    </row>
    <row r="33" spans="1:13" ht="60">
      <c r="A33" s="98">
        <v>14</v>
      </c>
      <c r="B33" s="97" t="s">
        <v>36</v>
      </c>
      <c r="C33" s="95"/>
      <c r="D33" s="99">
        <v>0</v>
      </c>
      <c r="E33" s="98">
        <v>0</v>
      </c>
      <c r="F33" s="98">
        <v>0</v>
      </c>
      <c r="G33" s="98">
        <v>0</v>
      </c>
      <c r="H33" s="98">
        <v>0</v>
      </c>
      <c r="I33" s="98"/>
      <c r="J33" s="98"/>
      <c r="K33" s="98"/>
      <c r="L33" s="98"/>
      <c r="M33" s="98"/>
    </row>
    <row r="34" spans="1:13">
      <c r="A34" s="98"/>
      <c r="B34" s="97" t="s">
        <v>37</v>
      </c>
      <c r="C34" s="95" t="s">
        <v>7</v>
      </c>
      <c r="D34" s="99">
        <v>100</v>
      </c>
      <c r="E34" s="98">
        <v>20</v>
      </c>
      <c r="F34" s="98">
        <v>2000</v>
      </c>
      <c r="G34" s="98">
        <v>35</v>
      </c>
      <c r="H34" s="98">
        <v>700</v>
      </c>
      <c r="I34" s="98"/>
      <c r="J34" s="98"/>
      <c r="K34" s="98">
        <v>65</v>
      </c>
      <c r="L34" s="98">
        <v>1300</v>
      </c>
      <c r="M34" s="98"/>
    </row>
    <row r="35" spans="1:13" ht="108">
      <c r="A35" s="98">
        <v>15</v>
      </c>
      <c r="B35" s="97" t="s">
        <v>38</v>
      </c>
      <c r="C35" s="95"/>
      <c r="D35" s="99">
        <v>0</v>
      </c>
      <c r="E35" s="98">
        <v>0</v>
      </c>
      <c r="F35" s="98">
        <v>0</v>
      </c>
      <c r="G35" s="98">
        <v>0</v>
      </c>
      <c r="H35" s="98">
        <v>0</v>
      </c>
      <c r="I35" s="98"/>
      <c r="J35" s="98"/>
      <c r="K35" s="98"/>
      <c r="L35" s="98"/>
      <c r="M35" s="98"/>
    </row>
    <row r="36" spans="1:13">
      <c r="A36" s="98"/>
      <c r="B36" s="97" t="s">
        <v>39</v>
      </c>
      <c r="C36" s="95" t="s">
        <v>6</v>
      </c>
      <c r="D36" s="99">
        <v>10</v>
      </c>
      <c r="E36" s="98">
        <v>1890</v>
      </c>
      <c r="F36" s="98">
        <v>18900</v>
      </c>
      <c r="G36" s="98">
        <v>12</v>
      </c>
      <c r="H36" s="98">
        <v>22680</v>
      </c>
      <c r="I36" s="98">
        <v>2</v>
      </c>
      <c r="J36" s="98">
        <v>3780</v>
      </c>
      <c r="K36" s="98"/>
      <c r="L36" s="98"/>
      <c r="M36" s="98"/>
    </row>
    <row r="37" spans="1:13" ht="168">
      <c r="A37" s="98">
        <v>16</v>
      </c>
      <c r="B37" s="97" t="s">
        <v>40</v>
      </c>
      <c r="C37" s="95"/>
      <c r="D37" s="99">
        <v>0</v>
      </c>
      <c r="E37" s="98">
        <v>0</v>
      </c>
      <c r="F37" s="98">
        <v>0</v>
      </c>
      <c r="G37" s="98">
        <v>0</v>
      </c>
      <c r="H37" s="98">
        <v>0</v>
      </c>
      <c r="I37" s="98"/>
      <c r="J37" s="98"/>
      <c r="K37" s="98"/>
      <c r="L37" s="98"/>
      <c r="M37" s="98"/>
    </row>
    <row r="38" spans="1:13">
      <c r="A38" s="98"/>
      <c r="B38" s="97" t="s">
        <v>41</v>
      </c>
      <c r="C38" s="95" t="s">
        <v>6</v>
      </c>
      <c r="D38" s="99">
        <v>80</v>
      </c>
      <c r="E38" s="98">
        <v>492</v>
      </c>
      <c r="F38" s="98">
        <v>39360</v>
      </c>
      <c r="G38" s="98">
        <v>78</v>
      </c>
      <c r="H38" s="98">
        <v>38376</v>
      </c>
      <c r="I38" s="98"/>
      <c r="J38" s="98"/>
      <c r="K38" s="98">
        <v>2</v>
      </c>
      <c r="L38" s="98">
        <v>984</v>
      </c>
      <c r="M38" s="98"/>
    </row>
    <row r="39" spans="1:13" ht="156">
      <c r="A39" s="98">
        <v>17</v>
      </c>
      <c r="B39" s="97" t="s">
        <v>42</v>
      </c>
      <c r="C39" s="95"/>
      <c r="D39" s="99">
        <v>0</v>
      </c>
      <c r="E39" s="98">
        <v>0</v>
      </c>
      <c r="F39" s="98">
        <v>0</v>
      </c>
      <c r="G39" s="98">
        <v>0</v>
      </c>
      <c r="H39" s="98">
        <v>0</v>
      </c>
      <c r="I39" s="98"/>
      <c r="J39" s="98"/>
      <c r="K39" s="98"/>
      <c r="L39" s="98"/>
      <c r="M39" s="98"/>
    </row>
    <row r="40" spans="1:13">
      <c r="A40" s="98"/>
      <c r="B40" s="97" t="s">
        <v>43</v>
      </c>
      <c r="C40" s="95"/>
      <c r="D40" s="99">
        <v>0</v>
      </c>
      <c r="E40" s="98">
        <v>0</v>
      </c>
      <c r="F40" s="98">
        <v>0</v>
      </c>
      <c r="G40" s="98">
        <v>0</v>
      </c>
      <c r="H40" s="98">
        <v>0</v>
      </c>
      <c r="I40" s="98"/>
      <c r="J40" s="98"/>
      <c r="K40" s="98"/>
      <c r="L40" s="98"/>
      <c r="M40" s="98"/>
    </row>
    <row r="41" spans="1:13">
      <c r="A41" s="98"/>
      <c r="B41" s="97" t="s">
        <v>44</v>
      </c>
      <c r="C41" s="95" t="s">
        <v>6</v>
      </c>
      <c r="D41" s="99">
        <v>50</v>
      </c>
      <c r="E41" s="98">
        <v>187</v>
      </c>
      <c r="F41" s="98">
        <v>9350</v>
      </c>
      <c r="G41" s="98">
        <v>88</v>
      </c>
      <c r="H41" s="98">
        <v>16456</v>
      </c>
      <c r="I41" s="98">
        <v>38</v>
      </c>
      <c r="J41" s="98">
        <v>7106</v>
      </c>
      <c r="K41" s="98"/>
      <c r="L41" s="98"/>
      <c r="M41" s="98"/>
    </row>
    <row r="42" spans="1:13">
      <c r="A42" s="98"/>
      <c r="B42" s="97" t="s">
        <v>45</v>
      </c>
      <c r="C42" s="95"/>
      <c r="D42" s="99">
        <v>0</v>
      </c>
      <c r="E42" s="98">
        <v>0</v>
      </c>
      <c r="F42" s="98">
        <v>0</v>
      </c>
      <c r="G42" s="98">
        <v>0</v>
      </c>
      <c r="H42" s="98">
        <v>0</v>
      </c>
      <c r="I42" s="98"/>
      <c r="J42" s="98"/>
      <c r="K42" s="98"/>
      <c r="L42" s="98"/>
      <c r="M42" s="98"/>
    </row>
    <row r="43" spans="1:13">
      <c r="A43" s="98"/>
      <c r="B43" s="97" t="s">
        <v>46</v>
      </c>
      <c r="C43" s="95" t="s">
        <v>6</v>
      </c>
      <c r="D43" s="99">
        <v>10</v>
      </c>
      <c r="E43" s="98">
        <v>900</v>
      </c>
      <c r="F43" s="98">
        <v>9000</v>
      </c>
      <c r="G43" s="98">
        <v>35</v>
      </c>
      <c r="H43" s="98">
        <v>31500</v>
      </c>
      <c r="I43" s="98">
        <v>25</v>
      </c>
      <c r="J43" s="98">
        <v>22500</v>
      </c>
      <c r="K43" s="98"/>
      <c r="L43" s="98"/>
      <c r="M43" s="98"/>
    </row>
    <row r="44" spans="1:13" ht="144">
      <c r="A44" s="98">
        <v>18</v>
      </c>
      <c r="B44" s="97" t="s">
        <v>47</v>
      </c>
      <c r="C44" s="95"/>
      <c r="D44" s="99">
        <v>0</v>
      </c>
      <c r="E44" s="98">
        <v>0</v>
      </c>
      <c r="F44" s="98">
        <v>0</v>
      </c>
      <c r="G44" s="98">
        <v>0</v>
      </c>
      <c r="H44" s="98">
        <v>0</v>
      </c>
      <c r="I44" s="98"/>
      <c r="J44" s="98"/>
      <c r="K44" s="98"/>
      <c r="L44" s="98"/>
      <c r="M44" s="98"/>
    </row>
    <row r="45" spans="1:13">
      <c r="A45" s="98" t="s">
        <v>94</v>
      </c>
      <c r="B45" s="97" t="s">
        <v>82</v>
      </c>
      <c r="C45" s="95" t="s">
        <v>6</v>
      </c>
      <c r="D45" s="99">
        <v>0</v>
      </c>
      <c r="E45" s="98">
        <v>5075</v>
      </c>
      <c r="F45" s="98">
        <v>0</v>
      </c>
      <c r="G45" s="98">
        <v>2</v>
      </c>
      <c r="H45" s="98">
        <v>10150</v>
      </c>
      <c r="I45" s="98">
        <v>2</v>
      </c>
      <c r="J45" s="98">
        <v>10150</v>
      </c>
      <c r="K45" s="98"/>
      <c r="L45" s="98"/>
      <c r="M45" s="98"/>
    </row>
    <row r="46" spans="1:13">
      <c r="A46" s="98" t="s">
        <v>95</v>
      </c>
      <c r="B46" s="97" t="s">
        <v>80</v>
      </c>
      <c r="C46" s="95" t="s">
        <v>6</v>
      </c>
      <c r="D46" s="99">
        <v>0</v>
      </c>
      <c r="E46" s="98">
        <v>107</v>
      </c>
      <c r="F46" s="98">
        <v>0</v>
      </c>
      <c r="G46" s="98">
        <v>4</v>
      </c>
      <c r="H46" s="98">
        <v>428</v>
      </c>
      <c r="I46" s="98">
        <v>4</v>
      </c>
      <c r="J46" s="98">
        <v>428</v>
      </c>
      <c r="K46" s="98"/>
      <c r="L46" s="98"/>
      <c r="M46" s="98"/>
    </row>
    <row r="47" spans="1:13">
      <c r="A47" s="98" t="s">
        <v>96</v>
      </c>
      <c r="B47" s="97" t="s">
        <v>81</v>
      </c>
      <c r="C47" s="95" t="s">
        <v>6</v>
      </c>
      <c r="D47" s="99">
        <v>0</v>
      </c>
      <c r="E47" s="98">
        <v>176</v>
      </c>
      <c r="F47" s="98">
        <v>0</v>
      </c>
      <c r="G47" s="98">
        <v>5</v>
      </c>
      <c r="H47" s="98">
        <v>880</v>
      </c>
      <c r="I47" s="98">
        <v>5</v>
      </c>
      <c r="J47" s="98">
        <v>880</v>
      </c>
      <c r="K47" s="98"/>
      <c r="L47" s="98"/>
      <c r="M47" s="98"/>
    </row>
    <row r="48" spans="1:13" ht="72">
      <c r="A48" s="98" t="s">
        <v>97</v>
      </c>
      <c r="B48" s="97" t="s">
        <v>79</v>
      </c>
      <c r="C48" s="95" t="s">
        <v>6</v>
      </c>
      <c r="D48" s="99">
        <v>0</v>
      </c>
      <c r="E48" s="98">
        <v>345</v>
      </c>
      <c r="F48" s="98">
        <v>0</v>
      </c>
      <c r="G48" s="98">
        <v>5</v>
      </c>
      <c r="H48" s="98">
        <v>1725</v>
      </c>
      <c r="I48" s="98">
        <v>5</v>
      </c>
      <c r="J48" s="98">
        <v>1725</v>
      </c>
      <c r="K48" s="98"/>
      <c r="L48" s="98"/>
      <c r="M48" s="98"/>
    </row>
    <row r="49" spans="1:13">
      <c r="A49" s="98" t="s">
        <v>98</v>
      </c>
      <c r="B49" s="97" t="s">
        <v>80</v>
      </c>
      <c r="C49" s="95" t="s">
        <v>6</v>
      </c>
      <c r="D49" s="99">
        <v>0</v>
      </c>
      <c r="E49" s="98">
        <v>107</v>
      </c>
      <c r="F49" s="98">
        <v>0</v>
      </c>
      <c r="G49" s="98">
        <v>4</v>
      </c>
      <c r="H49" s="98">
        <v>428</v>
      </c>
      <c r="I49" s="98">
        <v>4</v>
      </c>
      <c r="J49" s="98">
        <v>428</v>
      </c>
      <c r="K49" s="98"/>
      <c r="L49" s="98"/>
      <c r="M49" s="98"/>
    </row>
    <row r="50" spans="1:13">
      <c r="A50" s="98" t="s">
        <v>95</v>
      </c>
      <c r="B50" s="97" t="s">
        <v>80</v>
      </c>
      <c r="C50" s="95" t="s">
        <v>6</v>
      </c>
      <c r="D50" s="99">
        <v>0</v>
      </c>
      <c r="E50" s="98">
        <v>107</v>
      </c>
      <c r="F50" s="98">
        <v>0</v>
      </c>
      <c r="G50" s="98">
        <v>4</v>
      </c>
      <c r="H50" s="98">
        <v>428</v>
      </c>
      <c r="I50" s="98">
        <v>4</v>
      </c>
      <c r="J50" s="98">
        <v>428</v>
      </c>
      <c r="K50" s="98"/>
      <c r="L50" s="98"/>
      <c r="M50" s="98"/>
    </row>
    <row r="51" spans="1:13">
      <c r="A51" s="98" t="s">
        <v>96</v>
      </c>
      <c r="B51" s="97" t="s">
        <v>81</v>
      </c>
      <c r="C51" s="95" t="s">
        <v>6</v>
      </c>
      <c r="D51" s="99">
        <v>0</v>
      </c>
      <c r="E51" s="98">
        <v>176</v>
      </c>
      <c r="F51" s="98">
        <v>0</v>
      </c>
      <c r="G51" s="98">
        <v>5</v>
      </c>
      <c r="H51" s="98">
        <v>880</v>
      </c>
      <c r="I51" s="98">
        <v>5</v>
      </c>
      <c r="J51" s="98">
        <v>880</v>
      </c>
      <c r="K51" s="98"/>
      <c r="L51" s="98"/>
      <c r="M51" s="98"/>
    </row>
    <row r="52" spans="1:13" ht="72">
      <c r="A52" s="98" t="s">
        <v>97</v>
      </c>
      <c r="B52" s="97" t="s">
        <v>79</v>
      </c>
      <c r="C52" s="95" t="s">
        <v>6</v>
      </c>
      <c r="D52" s="99">
        <v>0</v>
      </c>
      <c r="E52" s="98">
        <v>345</v>
      </c>
      <c r="F52" s="98">
        <v>0</v>
      </c>
      <c r="G52" s="98">
        <v>5</v>
      </c>
      <c r="H52" s="98">
        <v>1725</v>
      </c>
      <c r="I52" s="98">
        <v>5</v>
      </c>
      <c r="J52" s="98">
        <v>1725</v>
      </c>
      <c r="K52" s="98"/>
      <c r="L52" s="98"/>
      <c r="M52" s="98"/>
    </row>
    <row r="53" spans="1:13">
      <c r="A53" s="98" t="s">
        <v>99</v>
      </c>
      <c r="B53" s="97" t="s">
        <v>81</v>
      </c>
      <c r="C53" s="95" t="s">
        <v>6</v>
      </c>
      <c r="D53" s="99">
        <v>0</v>
      </c>
      <c r="E53" s="98">
        <v>176</v>
      </c>
      <c r="F53" s="98">
        <v>0</v>
      </c>
      <c r="G53" s="98">
        <v>5</v>
      </c>
      <c r="H53" s="98">
        <v>880</v>
      </c>
      <c r="I53" s="98">
        <v>5</v>
      </c>
      <c r="J53" s="98">
        <v>880</v>
      </c>
      <c r="K53" s="98"/>
      <c r="L53" s="98"/>
      <c r="M53" s="98"/>
    </row>
    <row r="54" spans="1:13" ht="12.75" thickBot="1"/>
    <row r="55" spans="1:13" ht="12.75" thickBot="1">
      <c r="B55" s="101" t="s">
        <v>72</v>
      </c>
      <c r="C55" s="102"/>
      <c r="D55" s="102"/>
      <c r="E55" s="102"/>
      <c r="F55" s="102">
        <v>321101</v>
      </c>
      <c r="G55" s="102"/>
      <c r="H55" s="102">
        <v>1065818</v>
      </c>
      <c r="I55" s="102"/>
      <c r="J55" s="102">
        <v>819102</v>
      </c>
      <c r="K55" s="102"/>
      <c r="L55" s="102">
        <v>74385</v>
      </c>
    </row>
    <row r="56" spans="1:13" ht="12.75" thickBot="1">
      <c r="B56" s="101" t="s">
        <v>183</v>
      </c>
      <c r="C56" s="102"/>
      <c r="D56" s="102"/>
      <c r="E56" s="102"/>
      <c r="F56" s="102">
        <v>16376</v>
      </c>
      <c r="G56" s="102"/>
      <c r="H56" s="102">
        <v>54357</v>
      </c>
      <c r="I56" s="102"/>
      <c r="J56" s="102">
        <v>41774</v>
      </c>
      <c r="K56" s="102"/>
      <c r="L56" s="102">
        <v>3794</v>
      </c>
    </row>
    <row r="57" spans="1:13" ht="12.75" thickBot="1">
      <c r="B57" s="101" t="s">
        <v>179</v>
      </c>
      <c r="C57" s="102"/>
      <c r="D57" s="102"/>
      <c r="E57" s="102"/>
      <c r="F57" s="102">
        <v>337477</v>
      </c>
      <c r="G57" s="102"/>
      <c r="H57" s="103">
        <v>1120175</v>
      </c>
      <c r="I57" s="102"/>
      <c r="J57" s="102">
        <v>860876</v>
      </c>
      <c r="K57" s="102"/>
      <c r="L57" s="102">
        <v>78179</v>
      </c>
    </row>
    <row r="58" spans="1:13" ht="12.75" thickBot="1">
      <c r="B58" s="101"/>
      <c r="C58" s="102"/>
      <c r="D58" s="102"/>
      <c r="E58" s="102"/>
      <c r="F58" s="102"/>
      <c r="G58" s="102"/>
      <c r="H58" s="103"/>
      <c r="I58" s="102"/>
      <c r="J58" s="102"/>
      <c r="K58" s="102"/>
      <c r="L58" s="102"/>
    </row>
    <row r="59" spans="1:13" ht="12.75" thickBot="1">
      <c r="B59" s="101" t="s">
        <v>181</v>
      </c>
      <c r="C59" s="102"/>
      <c r="D59" s="102"/>
      <c r="E59" s="102"/>
      <c r="F59" s="102"/>
      <c r="G59" s="102"/>
      <c r="H59" s="103">
        <v>782697</v>
      </c>
      <c r="I59" s="102"/>
      <c r="J59" s="102"/>
      <c r="K59" s="102"/>
      <c r="L59" s="102"/>
    </row>
    <row r="60" spans="1:13" ht="12.75" thickBot="1">
      <c r="B60" s="101" t="s">
        <v>182</v>
      </c>
      <c r="C60" s="102"/>
      <c r="D60" s="102"/>
      <c r="E60" s="102"/>
      <c r="F60" s="102"/>
      <c r="G60" s="102"/>
      <c r="H60" s="104">
        <v>2.319260275515072</v>
      </c>
      <c r="I60" s="102"/>
      <c r="J60" s="102"/>
      <c r="K60" s="102"/>
      <c r="L60" s="102"/>
    </row>
  </sheetData>
  <mergeCells count="13">
    <mergeCell ref="G10:H10"/>
    <mergeCell ref="I10:J10"/>
    <mergeCell ref="K10:L10"/>
    <mergeCell ref="M10:M11"/>
    <mergeCell ref="A2:F2"/>
    <mergeCell ref="A10:A11"/>
    <mergeCell ref="B10:B11"/>
    <mergeCell ref="C10:C11"/>
    <mergeCell ref="D10:F10"/>
    <mergeCell ref="A3:M3"/>
    <mergeCell ref="C4:M4"/>
    <mergeCell ref="C6:M6"/>
    <mergeCell ref="C9:M9"/>
  </mergeCells>
  <printOptions horizontalCentered="1"/>
  <pageMargins left="0.25" right="0.25" top="0.25" bottom="0.6" header="0.19685039370078738" footer="0.59055118110236215"/>
  <pageSetup paperSize="9" scale="21" fitToHeight="12" orientation="landscape" r:id="rId1"/>
  <headerFooter>
    <oddFooter>&amp;CAgrement No.-54&amp;R&amp;P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D41"/>
  <sheetViews>
    <sheetView view="pageBreakPreview" topLeftCell="A37" zoomScaleNormal="100" zoomScaleSheetLayoutView="100" workbookViewId="0">
      <selection activeCell="F39" sqref="F39"/>
    </sheetView>
  </sheetViews>
  <sheetFormatPr defaultColWidth="9.140625" defaultRowHeight="24.95" customHeight="1"/>
  <cols>
    <col min="1" max="1" width="7.5703125" style="67" bestFit="1" customWidth="1"/>
    <col min="2" max="2" width="50.7109375" style="68" bestFit="1" customWidth="1"/>
    <col min="3" max="3" width="5.5703125" style="56" bestFit="1" customWidth="1"/>
    <col min="4" max="4" width="59.28515625" style="68" customWidth="1"/>
    <col min="5" max="16384" width="9.140625" style="56"/>
  </cols>
  <sheetData>
    <row r="1" spans="1:4" ht="24.95" customHeight="1">
      <c r="A1" s="150" t="s">
        <v>147</v>
      </c>
      <c r="B1" s="150"/>
      <c r="C1" s="150"/>
      <c r="D1" s="150"/>
    </row>
    <row r="2" spans="1:4" ht="24.95" customHeight="1">
      <c r="A2" s="151" t="str">
        <f>_xlfn.CONCAT('Work Order'!E10," Agreement No. ",'Work Order'!E13)</f>
        <v>First &amp; Final Bill Agreement No. 48/2024-25</v>
      </c>
      <c r="B2" s="151"/>
      <c r="C2" s="151"/>
      <c r="D2" s="151"/>
    </row>
    <row r="3" spans="1:4" ht="24.95" customHeight="1">
      <c r="A3" s="57" t="s">
        <v>18</v>
      </c>
      <c r="B3" s="58" t="s">
        <v>1</v>
      </c>
      <c r="C3" s="152" t="s">
        <v>146</v>
      </c>
      <c r="D3" s="152"/>
    </row>
    <row r="4" spans="1:4" ht="24.95" customHeight="1">
      <c r="A4" s="59">
        <v>1</v>
      </c>
      <c r="B4" s="60" t="s">
        <v>145</v>
      </c>
      <c r="C4" s="145" t="s">
        <v>154</v>
      </c>
      <c r="D4" s="145"/>
    </row>
    <row r="5" spans="1:4" ht="24.95" customHeight="1">
      <c r="A5" s="59">
        <v>2</v>
      </c>
      <c r="B5" s="60" t="s">
        <v>71</v>
      </c>
      <c r="C5" s="147" t="str">
        <f>'Work Order'!E13</f>
        <v>48/2024-25</v>
      </c>
      <c r="D5" s="147"/>
    </row>
    <row r="6" spans="1:4" ht="24.95" customHeight="1">
      <c r="A6" s="59">
        <v>3</v>
      </c>
      <c r="B6" s="60" t="s">
        <v>144</v>
      </c>
      <c r="C6" s="145"/>
      <c r="D6" s="145"/>
    </row>
    <row r="7" spans="1:4" ht="24.95" customHeight="1">
      <c r="A7" s="59">
        <v>4</v>
      </c>
      <c r="B7" s="60" t="s">
        <v>143</v>
      </c>
      <c r="C7" s="145"/>
      <c r="D7" s="145"/>
    </row>
    <row r="8" spans="1:4" ht="24.95" customHeight="1">
      <c r="A8" s="59">
        <v>5</v>
      </c>
      <c r="B8" s="60" t="s">
        <v>142</v>
      </c>
      <c r="C8" s="145" t="s">
        <v>155</v>
      </c>
      <c r="D8" s="145"/>
    </row>
    <row r="9" spans="1:4" ht="24.95" customHeight="1">
      <c r="A9" s="59">
        <v>6</v>
      </c>
      <c r="B9" s="60" t="s">
        <v>141</v>
      </c>
      <c r="C9" s="145" t="s">
        <v>156</v>
      </c>
      <c r="D9" s="145"/>
    </row>
    <row r="10" spans="1:4" ht="30.75" customHeight="1">
      <c r="A10" s="59">
        <v>7</v>
      </c>
      <c r="B10" s="60" t="s">
        <v>140</v>
      </c>
      <c r="C10" s="147" t="str">
        <f>'Work Order'!B9</f>
        <v>Electric Repair and MTC work at Govt. Ambedkar hostel Ambamata, Govardhanvilas, Udaipur</v>
      </c>
      <c r="D10" s="147"/>
    </row>
    <row r="11" spans="1:4" ht="24.95" customHeight="1">
      <c r="A11" s="59">
        <v>8</v>
      </c>
      <c r="B11" s="60" t="s">
        <v>157</v>
      </c>
      <c r="C11" s="147" t="str">
        <f>'Work Order'!B7</f>
        <v>M/s Seema Electrical Udaipur</v>
      </c>
      <c r="D11" s="147"/>
    </row>
    <row r="12" spans="1:4" ht="24.95" customHeight="1">
      <c r="A12" s="59">
        <v>9</v>
      </c>
      <c r="B12" s="60" t="s">
        <v>139</v>
      </c>
      <c r="C12" s="145" t="s">
        <v>158</v>
      </c>
      <c r="D12" s="145"/>
    </row>
    <row r="13" spans="1:4" ht="24.95" customHeight="1">
      <c r="A13" s="59">
        <v>11</v>
      </c>
      <c r="B13" s="60" t="s">
        <v>138</v>
      </c>
      <c r="C13" s="146">
        <f>'Work Order'!E15</f>
        <v>45675</v>
      </c>
      <c r="D13" s="147"/>
    </row>
    <row r="14" spans="1:4" ht="24.95" customHeight="1">
      <c r="A14" s="59">
        <v>12</v>
      </c>
      <c r="B14" s="60" t="s">
        <v>137</v>
      </c>
      <c r="C14" s="146">
        <f>'Work Order'!E16</f>
        <v>45764</v>
      </c>
      <c r="D14" s="147"/>
    </row>
    <row r="15" spans="1:4" ht="24.95" customHeight="1">
      <c r="A15" s="59">
        <v>13</v>
      </c>
      <c r="B15" s="60" t="s">
        <v>136</v>
      </c>
      <c r="C15" s="146">
        <f>'Work Order'!E17</f>
        <v>45717</v>
      </c>
      <c r="D15" s="147"/>
    </row>
    <row r="16" spans="1:4" ht="55.9" customHeight="1">
      <c r="A16" s="59">
        <v>14</v>
      </c>
      <c r="B16" s="60" t="s">
        <v>135</v>
      </c>
      <c r="C16" s="143" t="s">
        <v>159</v>
      </c>
      <c r="D16" s="143"/>
    </row>
    <row r="17" spans="1:4" ht="24.95" customHeight="1">
      <c r="A17" s="59">
        <v>15</v>
      </c>
      <c r="B17" s="60" t="s">
        <v>134</v>
      </c>
      <c r="C17" s="143" t="s">
        <v>125</v>
      </c>
      <c r="D17" s="143"/>
    </row>
    <row r="18" spans="1:4" ht="24.95" customHeight="1">
      <c r="A18" s="59">
        <v>16</v>
      </c>
      <c r="B18" s="60" t="s">
        <v>133</v>
      </c>
      <c r="C18" s="148">
        <f>'Work Order'!E19</f>
        <v>854678</v>
      </c>
      <c r="D18" s="145"/>
    </row>
    <row r="19" spans="1:4" ht="24.95" customHeight="1">
      <c r="A19" s="59">
        <v>17</v>
      </c>
      <c r="B19" s="60" t="s">
        <v>132</v>
      </c>
      <c r="C19" s="149" t="e">
        <f>#REF!</f>
        <v>#REF!</v>
      </c>
      <c r="D19" s="147"/>
    </row>
    <row r="20" spans="1:4" ht="24.95" customHeight="1">
      <c r="A20" s="59">
        <v>18</v>
      </c>
      <c r="B20" s="60" t="s">
        <v>131</v>
      </c>
      <c r="C20" s="145" t="e">
        <f>C18-C19</f>
        <v>#REF!</v>
      </c>
      <c r="D20" s="145"/>
    </row>
    <row r="21" spans="1:4" ht="24.95" customHeight="1">
      <c r="A21" s="59"/>
      <c r="B21" s="62" t="s">
        <v>130</v>
      </c>
      <c r="C21" s="145" t="e">
        <f>C19</f>
        <v>#REF!</v>
      </c>
      <c r="D21" s="145"/>
    </row>
    <row r="22" spans="1:4" ht="41.25" customHeight="1">
      <c r="A22" s="59">
        <v>19</v>
      </c>
      <c r="B22" s="60" t="s">
        <v>129</v>
      </c>
      <c r="C22" s="145" t="e">
        <f>IF(OR((C19/C18)*100&lt;90, (C19/C18)*100&gt;100), "Till date " &amp; TEXT(C19/C18, "0.00%") &amp; " Work is executed. Deviation Statement is Enclosed.", "Till date " &amp; TEXT(C19/C18, "0.00%") &amp; " Work is executed.")</f>
        <v>#REF!</v>
      </c>
      <c r="D22" s="145"/>
    </row>
    <row r="23" spans="1:4" ht="39" customHeight="1">
      <c r="A23" s="59">
        <v>20</v>
      </c>
      <c r="B23" s="60" t="s">
        <v>160</v>
      </c>
      <c r="C23" s="145"/>
      <c r="D23" s="145"/>
    </row>
    <row r="24" spans="1:4" ht="38.25" customHeight="1">
      <c r="A24" s="59">
        <v>21</v>
      </c>
      <c r="B24" s="60" t="s">
        <v>128</v>
      </c>
      <c r="C24" s="145"/>
      <c r="D24" s="145"/>
    </row>
    <row r="25" spans="1:4" ht="24.95" customHeight="1">
      <c r="A25" s="59">
        <v>22</v>
      </c>
      <c r="B25" s="60" t="s">
        <v>127</v>
      </c>
      <c r="C25" s="143" t="s">
        <v>125</v>
      </c>
      <c r="D25" s="143"/>
    </row>
    <row r="26" spans="1:4" ht="24.95" customHeight="1">
      <c r="A26" s="59">
        <v>23</v>
      </c>
      <c r="B26" s="60" t="s">
        <v>126</v>
      </c>
      <c r="C26" s="143" t="s">
        <v>125</v>
      </c>
      <c r="D26" s="143"/>
    </row>
    <row r="27" spans="1:4" ht="24.95" customHeight="1">
      <c r="A27" s="59"/>
      <c r="B27" s="60" t="s">
        <v>124</v>
      </c>
      <c r="C27" s="140" t="s">
        <v>161</v>
      </c>
      <c r="D27" s="141"/>
    </row>
    <row r="28" spans="1:4" ht="24.95" customHeight="1">
      <c r="A28" s="59"/>
      <c r="B28" s="60" t="s">
        <v>123</v>
      </c>
      <c r="C28" s="140" t="s">
        <v>122</v>
      </c>
      <c r="D28" s="141"/>
    </row>
    <row r="29" spans="1:4" ht="24.95" customHeight="1">
      <c r="A29" s="59"/>
      <c r="B29" s="63" t="s">
        <v>121</v>
      </c>
      <c r="C29" s="144">
        <v>18418</v>
      </c>
      <c r="D29" s="141"/>
    </row>
    <row r="30" spans="1:4" ht="24.95" customHeight="1">
      <c r="A30" s="59"/>
      <c r="B30" s="64" t="s">
        <v>162</v>
      </c>
      <c r="C30" s="140" t="s">
        <v>161</v>
      </c>
      <c r="D30" s="141"/>
    </row>
    <row r="31" spans="1:4" ht="24.95" customHeight="1">
      <c r="A31" s="59"/>
      <c r="B31" s="64" t="s">
        <v>163</v>
      </c>
      <c r="C31" s="140" t="s">
        <v>161</v>
      </c>
      <c r="D31" s="141"/>
    </row>
    <row r="32" spans="1:4" ht="24.95" customHeight="1">
      <c r="A32" s="59"/>
      <c r="B32" s="62" t="s">
        <v>120</v>
      </c>
      <c r="C32" s="142"/>
      <c r="D32" s="142"/>
    </row>
    <row r="33" spans="1:4" ht="24.95" customHeight="1">
      <c r="A33" s="59"/>
      <c r="B33" s="63" t="s">
        <v>119</v>
      </c>
      <c r="C33" s="65">
        <v>0.1</v>
      </c>
      <c r="D33" s="61" t="e">
        <f>ROUNDUP(C21*0.1,0)</f>
        <v>#REF!</v>
      </c>
    </row>
    <row r="34" spans="1:4" ht="24.95" customHeight="1">
      <c r="A34" s="59"/>
      <c r="B34" s="63" t="s">
        <v>118</v>
      </c>
      <c r="C34" s="65">
        <v>0.02</v>
      </c>
      <c r="D34" s="61" t="e">
        <f>ROUNDUP($C$21*0.02,0)</f>
        <v>#REF!</v>
      </c>
    </row>
    <row r="35" spans="1:4" ht="24.95" customHeight="1">
      <c r="A35" s="59"/>
      <c r="B35" s="63" t="s">
        <v>117</v>
      </c>
      <c r="C35" s="65">
        <v>0.02</v>
      </c>
      <c r="D35" s="61" t="e">
        <f>ROUNDUP($C$21*0.02,0)</f>
        <v>#REF!</v>
      </c>
    </row>
    <row r="36" spans="1:4" ht="24.95" customHeight="1">
      <c r="A36" s="59"/>
      <c r="B36" s="63" t="s">
        <v>116</v>
      </c>
      <c r="C36" s="65">
        <v>0.01</v>
      </c>
      <c r="D36" s="61" t="e">
        <f>ROUNDUP($C$21*0.01,0)</f>
        <v>#REF!</v>
      </c>
    </row>
    <row r="37" spans="1:4" ht="24.95" customHeight="1">
      <c r="A37" s="59"/>
      <c r="B37" s="63" t="s">
        <v>115</v>
      </c>
      <c r="C37" s="66"/>
      <c r="D37" s="61">
        <v>9215</v>
      </c>
    </row>
    <row r="38" spans="1:4" ht="24.95" customHeight="1">
      <c r="A38" s="59"/>
      <c r="B38" s="63" t="s">
        <v>108</v>
      </c>
      <c r="C38" s="66"/>
      <c r="D38" s="61" t="e">
        <f>C21-D33-D34-D35-D36-D37</f>
        <v>#REF!</v>
      </c>
    </row>
    <row r="39" spans="1:4" ht="24.95" customHeight="1">
      <c r="A39" s="59"/>
      <c r="B39" s="63" t="s">
        <v>114</v>
      </c>
      <c r="C39" s="66"/>
      <c r="D39" s="61" t="e">
        <f>C21</f>
        <v>#REF!</v>
      </c>
    </row>
    <row r="41" spans="1:4" ht="250.9" customHeight="1">
      <c r="B41" s="139" t="s">
        <v>184</v>
      </c>
      <c r="C41" s="139"/>
      <c r="D41" s="139"/>
    </row>
  </sheetData>
  <mergeCells count="33">
    <mergeCell ref="C12:D12"/>
    <mergeCell ref="A1:D1"/>
    <mergeCell ref="A2:D2"/>
    <mergeCell ref="C3:D3"/>
    <mergeCell ref="C4:D4"/>
    <mergeCell ref="C5:D5"/>
    <mergeCell ref="C6:D6"/>
    <mergeCell ref="C7:D7"/>
    <mergeCell ref="C8:D8"/>
    <mergeCell ref="C9:D9"/>
    <mergeCell ref="C10:D10"/>
    <mergeCell ref="C11:D11"/>
    <mergeCell ref="C24:D24"/>
    <mergeCell ref="C13:D13"/>
    <mergeCell ref="C14:D14"/>
    <mergeCell ref="C15:D15"/>
    <mergeCell ref="C16:D16"/>
    <mergeCell ref="C17:D17"/>
    <mergeCell ref="C18:D18"/>
    <mergeCell ref="C19:D19"/>
    <mergeCell ref="C20:D20"/>
    <mergeCell ref="C21:D21"/>
    <mergeCell ref="C22:D22"/>
    <mergeCell ref="C23:D23"/>
    <mergeCell ref="B41:D41"/>
    <mergeCell ref="C31:D31"/>
    <mergeCell ref="C32:D32"/>
    <mergeCell ref="C25:D25"/>
    <mergeCell ref="C26:D26"/>
    <mergeCell ref="C27:D27"/>
    <mergeCell ref="C28:D28"/>
    <mergeCell ref="C29:D29"/>
    <mergeCell ref="C30:D30"/>
  </mergeCells>
  <printOptions horizontalCentered="1"/>
  <pageMargins left="0.25" right="0.25" top="0.25" bottom="0.6" header="0.19685039370078738" footer="0.59055118110236215"/>
  <pageSetup paperSize="9" scale="80" fitToHeight="2" orientation="portrait" r:id="rId1"/>
  <headerFooter>
    <oddFooter>&amp;LMarudhar&amp;C&amp;F</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6" r:id="rId4" name="Button 2">
              <controlPr defaultSize="0" print="0" autoFill="0" autoPict="0" macro="[0]!GenerateBillNotesInBill01APRIL">
                <anchor moveWithCells="1" sizeWithCells="1">
                  <from>
                    <xdr:col>4</xdr:col>
                    <xdr:colOff>76200</xdr:colOff>
                    <xdr:row>35</xdr:row>
                    <xdr:rowOff>9525</xdr:rowOff>
                  </from>
                  <to>
                    <xdr:col>6</xdr:col>
                    <xdr:colOff>104775</xdr:colOff>
                    <xdr:row>37</xdr:row>
                    <xdr:rowOff>190500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39"/>
  <sheetViews>
    <sheetView tabSelected="1" zoomScaleNormal="100" workbookViewId="0">
      <selection activeCell="M22" sqref="M22:O22"/>
    </sheetView>
  </sheetViews>
  <sheetFormatPr defaultRowHeight="15"/>
  <cols>
    <col min="1" max="1" width="2" bestFit="1" customWidth="1"/>
    <col min="2" max="2" width="13.28515625" customWidth="1"/>
    <col min="3" max="3" width="87.140625" bestFit="1" customWidth="1"/>
    <col min="4" max="4" width="3.5703125" bestFit="1" customWidth="1"/>
    <col min="5" max="5" width="13.28515625" customWidth="1"/>
    <col min="6" max="6" width="3.42578125" bestFit="1" customWidth="1"/>
    <col min="7" max="7" width="10.28515625" bestFit="1" customWidth="1"/>
  </cols>
  <sheetData>
    <row r="1" spans="1:7" ht="15.75" thickBot="1">
      <c r="A1" s="153" t="s">
        <v>185</v>
      </c>
      <c r="B1" s="154"/>
      <c r="C1" s="154"/>
      <c r="D1" s="154"/>
      <c r="E1" s="154"/>
      <c r="F1" s="154"/>
      <c r="G1" s="155"/>
    </row>
    <row r="2" spans="1:7" ht="15.75" thickBot="1">
      <c r="A2" s="108"/>
      <c r="G2" s="114" t="s">
        <v>186</v>
      </c>
    </row>
    <row r="3" spans="1:7" ht="15.75" thickBot="1">
      <c r="A3" s="108">
        <v>1</v>
      </c>
      <c r="B3" t="s">
        <v>187</v>
      </c>
      <c r="F3" t="s">
        <v>188</v>
      </c>
      <c r="G3" s="118">
        <f>'First Page'!G68</f>
        <v>1120175</v>
      </c>
    </row>
    <row r="4" spans="1:7">
      <c r="A4" s="108">
        <v>2</v>
      </c>
      <c r="B4" t="s">
        <v>189</v>
      </c>
      <c r="G4" s="109"/>
    </row>
    <row r="5" spans="1:7">
      <c r="A5" s="108"/>
      <c r="B5" t="s">
        <v>190</v>
      </c>
      <c r="F5" t="s">
        <v>191</v>
      </c>
      <c r="G5" s="110" t="s">
        <v>196</v>
      </c>
    </row>
    <row r="6" spans="1:7">
      <c r="A6" s="108"/>
      <c r="B6" t="s">
        <v>192</v>
      </c>
      <c r="F6" t="s">
        <v>193</v>
      </c>
      <c r="G6" s="110" t="s">
        <v>196</v>
      </c>
    </row>
    <row r="7" spans="1:7">
      <c r="A7" s="108">
        <v>3</v>
      </c>
      <c r="B7" t="s">
        <v>194</v>
      </c>
      <c r="F7" s="111" t="s">
        <v>195</v>
      </c>
      <c r="G7" s="110" t="s">
        <v>196</v>
      </c>
    </row>
    <row r="8" spans="1:7" ht="15.75" thickBot="1">
      <c r="A8" s="108">
        <v>4</v>
      </c>
      <c r="B8" t="s">
        <v>197</v>
      </c>
      <c r="G8" s="119">
        <f>G3</f>
        <v>1120175</v>
      </c>
    </row>
    <row r="9" spans="1:7" ht="15.75" thickBot="1">
      <c r="A9" s="108">
        <v>5</v>
      </c>
      <c r="B9" t="s">
        <v>198</v>
      </c>
      <c r="E9" s="114" t="s">
        <v>186</v>
      </c>
      <c r="G9" s="113"/>
    </row>
    <row r="10" spans="1:7" ht="15.75" thickBot="1">
      <c r="A10" s="108"/>
      <c r="B10" t="s">
        <v>199</v>
      </c>
      <c r="E10" s="112" t="s">
        <v>196</v>
      </c>
      <c r="F10" t="s">
        <v>200</v>
      </c>
      <c r="G10" s="129" t="s">
        <v>224</v>
      </c>
    </row>
    <row r="11" spans="1:7">
      <c r="A11" s="108"/>
      <c r="B11" t="s">
        <v>201</v>
      </c>
      <c r="G11" s="120">
        <f>G8</f>
        <v>1120175</v>
      </c>
    </row>
    <row r="12" spans="1:7" ht="15.75" thickBot="1">
      <c r="A12" s="108">
        <v>6</v>
      </c>
      <c r="B12" t="s">
        <v>202</v>
      </c>
      <c r="G12" s="121">
        <v>0</v>
      </c>
    </row>
    <row r="13" spans="1:7">
      <c r="A13" s="108">
        <v>7</v>
      </c>
      <c r="B13" t="s">
        <v>203</v>
      </c>
      <c r="F13" t="s">
        <v>204</v>
      </c>
      <c r="G13" s="113"/>
    </row>
    <row r="14" spans="1:7" ht="15.75" thickBot="1">
      <c r="A14" s="108">
        <v>8</v>
      </c>
      <c r="B14" t="s">
        <v>205</v>
      </c>
      <c r="G14" s="113"/>
    </row>
    <row r="15" spans="1:7" ht="15.75" thickBot="1">
      <c r="A15" s="108"/>
      <c r="B15" t="s">
        <v>206</v>
      </c>
      <c r="D15" t="s">
        <v>207</v>
      </c>
      <c r="E15" s="114" t="s">
        <v>186</v>
      </c>
      <c r="G15" s="113"/>
    </row>
    <row r="16" spans="1:7">
      <c r="A16" s="108"/>
      <c r="C16" s="122" t="s">
        <v>148</v>
      </c>
      <c r="E16" s="123">
        <f>ROUNDUP(($G$11-$G$12)*0.1,0)</f>
        <v>112018</v>
      </c>
      <c r="G16" s="113"/>
    </row>
    <row r="17" spans="1:7">
      <c r="A17" s="108"/>
      <c r="C17" s="122" t="s">
        <v>149</v>
      </c>
      <c r="E17" s="123">
        <f>ROUNDUP(($G$11-$G$12)*0.02,0)</f>
        <v>22404</v>
      </c>
      <c r="G17" s="113"/>
    </row>
    <row r="18" spans="1:7">
      <c r="A18" s="108"/>
      <c r="C18" s="122" t="s">
        <v>150</v>
      </c>
      <c r="E18" s="123">
        <f>IF(ISEVEN(E17), E17, E17+1)</f>
        <v>22404</v>
      </c>
      <c r="G18" s="113"/>
    </row>
    <row r="19" spans="1:7">
      <c r="A19" s="108"/>
      <c r="C19" s="122" t="s">
        <v>151</v>
      </c>
      <c r="E19" s="123">
        <f>ROUNDUP(($G$11-$G$12)*0.01,0)</f>
        <v>11202</v>
      </c>
      <c r="G19" s="113"/>
    </row>
    <row r="20" spans="1:7" ht="15.75" thickBot="1">
      <c r="A20" s="108"/>
      <c r="C20" s="122" t="s">
        <v>152</v>
      </c>
      <c r="E20" s="124">
        <v>0</v>
      </c>
      <c r="G20" s="113"/>
    </row>
    <row r="21" spans="1:7" ht="15.75" thickBot="1">
      <c r="A21" s="108"/>
      <c r="B21" t="s">
        <v>206</v>
      </c>
      <c r="E21" s="125">
        <f>SUM(E16:E20)</f>
        <v>168028</v>
      </c>
      <c r="G21" s="113"/>
    </row>
    <row r="22" spans="1:7">
      <c r="A22" s="108"/>
      <c r="B22" t="s">
        <v>208</v>
      </c>
      <c r="D22" t="s">
        <v>209</v>
      </c>
      <c r="E22" s="109" t="s">
        <v>186</v>
      </c>
      <c r="G22" s="113"/>
    </row>
    <row r="23" spans="1:7">
      <c r="A23" s="108"/>
      <c r="B23" t="s">
        <v>210</v>
      </c>
      <c r="D23" t="s">
        <v>211</v>
      </c>
      <c r="E23" s="110" t="s">
        <v>196</v>
      </c>
      <c r="G23" s="113"/>
    </row>
    <row r="24" spans="1:7" ht="15.75" thickBot="1">
      <c r="A24" s="108"/>
      <c r="B24" t="s">
        <v>105</v>
      </c>
      <c r="D24" t="s">
        <v>212</v>
      </c>
      <c r="E24" s="126">
        <f>G11-G12-E21</f>
        <v>952147</v>
      </c>
      <c r="G24" s="113"/>
    </row>
    <row r="25" spans="1:7" ht="15.75" thickBot="1">
      <c r="A25" s="108"/>
      <c r="B25" t="s">
        <v>213</v>
      </c>
      <c r="E25" s="114"/>
      <c r="G25" s="113"/>
    </row>
    <row r="26" spans="1:7">
      <c r="A26" s="108"/>
      <c r="G26" s="113"/>
    </row>
    <row r="27" spans="1:7">
      <c r="A27" s="108"/>
      <c r="G27" s="113"/>
    </row>
    <row r="28" spans="1:7">
      <c r="A28" s="108"/>
      <c r="B28" t="s">
        <v>214</v>
      </c>
      <c r="C28" s="127">
        <f>E24</f>
        <v>952147</v>
      </c>
      <c r="G28" s="113"/>
    </row>
    <row r="29" spans="1:7">
      <c r="A29" s="108"/>
      <c r="B29" t="s">
        <v>215</v>
      </c>
      <c r="C29" s="128" t="str" cm="1">
        <f t="array" ref="C29">NumToWords(C28)</f>
        <v/>
      </c>
      <c r="G29" s="113"/>
    </row>
    <row r="30" spans="1:7">
      <c r="A30" s="108"/>
      <c r="C30" t="s">
        <v>216</v>
      </c>
      <c r="G30" s="113"/>
    </row>
    <row r="31" spans="1:7" ht="15.75" thickBot="1">
      <c r="A31" s="115"/>
      <c r="B31" s="116"/>
      <c r="C31" s="116"/>
      <c r="D31" s="116"/>
      <c r="E31" s="116"/>
      <c r="F31" s="116"/>
      <c r="G31" s="117" t="s">
        <v>106</v>
      </c>
    </row>
    <row r="32" spans="1:7">
      <c r="A32" s="105"/>
      <c r="B32" s="106" t="s">
        <v>107</v>
      </c>
      <c r="C32" s="156">
        <f>C28</f>
        <v>952147</v>
      </c>
      <c r="D32" s="106"/>
      <c r="E32" s="106"/>
      <c r="F32" s="106"/>
      <c r="G32" s="107"/>
    </row>
    <row r="33" spans="1:7">
      <c r="A33" s="108"/>
      <c r="B33" t="s">
        <v>215</v>
      </c>
      <c r="G33" s="113" t="s">
        <v>217</v>
      </c>
    </row>
    <row r="34" spans="1:7">
      <c r="A34" s="108"/>
      <c r="C34" t="s">
        <v>218</v>
      </c>
      <c r="G34" s="113"/>
    </row>
    <row r="35" spans="1:7">
      <c r="A35" s="108"/>
      <c r="B35" t="s">
        <v>219</v>
      </c>
      <c r="G35" s="113"/>
    </row>
    <row r="36" spans="1:7" ht="15.75" thickBot="1">
      <c r="A36" s="115"/>
      <c r="B36" s="116" t="s">
        <v>220</v>
      </c>
      <c r="C36" s="116"/>
      <c r="D36" s="116"/>
      <c r="E36" s="116"/>
      <c r="F36" s="116"/>
      <c r="G36" s="117" t="s">
        <v>221</v>
      </c>
    </row>
    <row r="37" spans="1:7">
      <c r="A37" s="105"/>
      <c r="B37" s="106" t="s">
        <v>222</v>
      </c>
      <c r="C37" s="106"/>
      <c r="D37" s="106"/>
      <c r="E37" s="106"/>
      <c r="F37" s="106"/>
      <c r="G37" s="107"/>
    </row>
    <row r="38" spans="1:7">
      <c r="A38" s="108"/>
      <c r="G38" s="113"/>
    </row>
    <row r="39" spans="1:7" ht="15.75" thickBot="1">
      <c r="A39" s="115"/>
      <c r="B39" s="116"/>
      <c r="C39" s="116"/>
      <c r="D39" s="116"/>
      <c r="E39" s="116"/>
      <c r="F39" s="116"/>
      <c r="G39" s="117" t="s">
        <v>223</v>
      </c>
    </row>
  </sheetData>
  <mergeCells count="1">
    <mergeCell ref="A1:G1"/>
  </mergeCells>
  <pageMargins left="0.70866141732283472" right="0.70866141732283472" top="0.74803149606299213" bottom="0.74803149606299213" header="0.31496062992125984" footer="0.31496062992125984"/>
  <pageSetup paperSize="9" scale="6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2193E60-FE6C-4130-A92C-A92F715E35AA}">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8</vt:i4>
      </vt:variant>
    </vt:vector>
  </HeadingPairs>
  <TitlesOfParts>
    <vt:vector size="15" baseType="lpstr">
      <vt:lpstr>Work Order</vt:lpstr>
      <vt:lpstr>BILL QUANTITY</vt:lpstr>
      <vt:lpstr>First Page</vt:lpstr>
      <vt:lpstr>EXTRA ITEMS</vt:lpstr>
      <vt:lpstr>Deviation Statement</vt:lpstr>
      <vt:lpstr>NOTE SHEET</vt:lpstr>
      <vt:lpstr>CERTIFICATE III</vt:lpstr>
      <vt:lpstr>'BILL QUANTITY'!Print_Area</vt:lpstr>
      <vt:lpstr>'Deviation Statement'!Print_Area</vt:lpstr>
      <vt:lpstr>'EXTRA ITEMS'!Print_Area</vt:lpstr>
      <vt:lpstr>'First Page'!Print_Area</vt:lpstr>
      <vt:lpstr>'NOTE SHEET'!Print_Area</vt:lpstr>
      <vt:lpstr>'Deviation Statement'!Print_Titles</vt:lpstr>
      <vt:lpstr>'EXTRA ITEMS'!Print_Titles</vt:lpstr>
      <vt:lpstr>'First Page'!Print_Titles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Rajkumar Singh Chauhan</dc:creator>
  <cp:lastModifiedBy>Rajkumar</cp:lastModifiedBy>
  <cp:lastPrinted>2025-05-29T08:24:04Z</cp:lastPrinted>
  <dcterms:created xsi:type="dcterms:W3CDTF">2025-01-28T09:52:28Z</dcterms:created>
  <dcterms:modified xsi:type="dcterms:W3CDTF">2026-02-23T04:19:56Z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{52193E60-FE6C-4130-A92C-A92F715E35AA}</vt:lpwstr>
  </property>
</Properties>
</file>