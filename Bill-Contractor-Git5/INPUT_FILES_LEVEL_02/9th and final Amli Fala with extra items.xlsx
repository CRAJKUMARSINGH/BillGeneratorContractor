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ajkumar.DESKTOP-4ISBKM0\Downloads\"/>
    </mc:Choice>
  </mc:AlternateContent>
  <bookViews>
    <workbookView minimized="1" xWindow="0" yWindow="0" windowWidth="20490" windowHeight="7755" tabRatio="615" activeTab="2"/>
  </bookViews>
  <sheets>
    <sheet name="Title" sheetId="23" r:id="rId1"/>
    <sheet name="Work Order" sheetId="19" r:id="rId2"/>
    <sheet name="Bill Quantity" sheetId="24" r:id="rId3"/>
    <sheet name="Extra Items" sheetId="12" r:id="rId4"/>
  </sheets>
  <definedNames>
    <definedName name="payable_amount" localSheetId="2">#REF!</definedName>
    <definedName name="payable_amount">#REF!</definedName>
    <definedName name="_xlnm.Print_Area" localSheetId="3">'Extra Items'!$A$1:$H$6</definedName>
    <definedName name="_xlnm.Print_Titles" localSheetId="3">'Extra Items'!$6:$29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7" i="24" l="1"/>
  <c r="F96" i="24"/>
  <c r="F95" i="24"/>
  <c r="F94" i="24"/>
  <c r="F93" i="24"/>
  <c r="F92" i="24"/>
  <c r="F91" i="24"/>
  <c r="F90" i="24"/>
  <c r="F89" i="24"/>
  <c r="F88" i="24"/>
  <c r="F87" i="24"/>
  <c r="F86" i="24"/>
  <c r="F85" i="24"/>
  <c r="F84" i="24"/>
  <c r="F83" i="24"/>
  <c r="F82" i="24"/>
  <c r="F81" i="24"/>
  <c r="F80" i="24"/>
  <c r="F79" i="24"/>
  <c r="F78" i="24"/>
  <c r="F77" i="24"/>
  <c r="F76" i="24"/>
  <c r="F75" i="24"/>
  <c r="F74" i="24"/>
  <c r="F73" i="24"/>
  <c r="F72" i="24"/>
  <c r="F71" i="24"/>
  <c r="F70" i="24"/>
  <c r="F69" i="24"/>
  <c r="F68" i="24"/>
  <c r="F67" i="24"/>
  <c r="F66" i="24"/>
  <c r="F65" i="24"/>
  <c r="F64" i="24"/>
  <c r="F63" i="24"/>
  <c r="F62" i="24"/>
  <c r="F61" i="24"/>
  <c r="F60" i="24"/>
  <c r="F59" i="24"/>
  <c r="F58" i="24"/>
  <c r="F57" i="24"/>
  <c r="F56" i="24"/>
  <c r="F55" i="24"/>
  <c r="F54" i="24"/>
  <c r="F53" i="24"/>
  <c r="F52" i="24"/>
  <c r="F51" i="24"/>
  <c r="F50" i="24"/>
  <c r="F49" i="24"/>
  <c r="F48" i="24"/>
  <c r="F47" i="24"/>
  <c r="F46" i="24"/>
  <c r="F45" i="24"/>
  <c r="F44" i="24"/>
  <c r="F43" i="24"/>
  <c r="F42" i="24"/>
  <c r="F41" i="24"/>
  <c r="F40" i="24"/>
  <c r="F39" i="24"/>
  <c r="F38" i="24"/>
  <c r="F37" i="24"/>
  <c r="F36" i="24"/>
  <c r="F35" i="24"/>
  <c r="F34" i="24"/>
  <c r="F33" i="24"/>
  <c r="F32" i="24"/>
  <c r="F31" i="24"/>
  <c r="F30" i="24"/>
  <c r="F29" i="24"/>
  <c r="F28" i="24"/>
  <c r="F27" i="24"/>
  <c r="F26" i="24"/>
  <c r="F25" i="24"/>
  <c r="F24" i="24"/>
  <c r="F23" i="24"/>
  <c r="F22" i="24"/>
  <c r="F21" i="24"/>
  <c r="F20" i="24"/>
  <c r="F19" i="24"/>
  <c r="F18" i="24"/>
  <c r="F17" i="24"/>
  <c r="F16" i="24"/>
  <c r="F15" i="24"/>
  <c r="F14" i="24"/>
  <c r="F13" i="24"/>
  <c r="F12" i="24"/>
  <c r="F11" i="24"/>
  <c r="F10" i="24"/>
  <c r="F9" i="24"/>
  <c r="F8" i="24"/>
  <c r="F7" i="24"/>
  <c r="F6" i="24"/>
  <c r="F5" i="24"/>
  <c r="F4" i="24"/>
  <c r="F3" i="24"/>
  <c r="F2" i="24"/>
  <c r="E99" i="24" l="1"/>
  <c r="D99" i="24"/>
  <c r="F98" i="24"/>
  <c r="F98" i="19"/>
  <c r="D99" i="19"/>
  <c r="F99" i="24" l="1"/>
  <c r="F100" i="24" s="1"/>
  <c r="E99" i="19"/>
  <c r="F14" i="12"/>
  <c r="E14" i="12"/>
  <c r="C4" i="12"/>
  <c r="C3" i="12"/>
  <c r="C2" i="12"/>
  <c r="G12" i="12" l="1"/>
  <c r="G11" i="12"/>
  <c r="G10" i="12"/>
  <c r="G9" i="12"/>
  <c r="G8" i="12"/>
  <c r="G7" i="12"/>
  <c r="G13" i="12" l="1"/>
  <c r="G14" i="12" s="1"/>
  <c r="G15" i="12" s="1"/>
  <c r="F99" i="19" l="1"/>
  <c r="F100" i="19" s="1"/>
</calcChain>
</file>

<file path=xl/sharedStrings.xml><?xml version="1.0" encoding="utf-8"?>
<sst xmlns="http://schemas.openxmlformats.org/spreadsheetml/2006/main" count="406" uniqueCount="122">
  <si>
    <t>Item</t>
  </si>
  <si>
    <t>Description</t>
  </si>
  <si>
    <t>Unit</t>
  </si>
  <si>
    <t>Quantity</t>
  </si>
  <si>
    <t>Rate</t>
  </si>
  <si>
    <t>Amount</t>
  </si>
  <si>
    <t>Each</t>
  </si>
  <si>
    <t>FOR CONTRACTORS &amp; SUPPLIERS ONLY FOR PAYMENT FOR WORK OR SUPPLIES ACTUALLY MEASURED</t>
  </si>
  <si>
    <t>Remarks</t>
  </si>
  <si>
    <t>S.No.</t>
  </si>
  <si>
    <t xml:space="preserve">Date of written order to commence work : </t>
  </si>
  <si>
    <t>BSR</t>
  </si>
  <si>
    <t>Agreement No.</t>
  </si>
  <si>
    <t xml:space="preserve">St. date of completion : </t>
  </si>
  <si>
    <t xml:space="preserve">Date of actual completion of work : </t>
  </si>
  <si>
    <t xml:space="preserve">Date of measurement : </t>
  </si>
  <si>
    <t xml:space="preserve">St. date of Start : </t>
  </si>
  <si>
    <t xml:space="preserve">Name of Contractor or supplier : </t>
  </si>
  <si>
    <t xml:space="preserve">Name of Work ;- </t>
  </si>
  <si>
    <t>Serial No. of this bill :</t>
  </si>
  <si>
    <t xml:space="preserve">No. and date of the last bill- </t>
  </si>
  <si>
    <t>Not Applicable</t>
  </si>
  <si>
    <t>Reference to work order or Agreement :</t>
  </si>
  <si>
    <t xml:space="preserve">Name of Work :- </t>
  </si>
  <si>
    <t>E-01</t>
  </si>
  <si>
    <t>E-02</t>
  </si>
  <si>
    <t>E-03</t>
  </si>
  <si>
    <t>E-04</t>
  </si>
  <si>
    <t>E-05</t>
  </si>
  <si>
    <t>E-06</t>
  </si>
  <si>
    <t>Qty.</t>
  </si>
  <si>
    <t>Particulars</t>
  </si>
  <si>
    <t>Ref. BSR No.</t>
  </si>
  <si>
    <t>EXTRA ITEM SLIP</t>
  </si>
  <si>
    <t xml:space="preserve">Reference to work order or Agreement : </t>
  </si>
  <si>
    <t>TENDER PREMIUM %</t>
  </si>
  <si>
    <t>%</t>
  </si>
  <si>
    <t>Total</t>
  </si>
  <si>
    <t xml:space="preserve">Add Tender Premium </t>
  </si>
  <si>
    <t>Grand Total</t>
  </si>
  <si>
    <t>Bill Number</t>
  </si>
  <si>
    <t xml:space="preserve">Running or Final </t>
  </si>
  <si>
    <t>Amount Paid Vide Last Bill</t>
  </si>
  <si>
    <t>Cash Book Voucher No. and Date</t>
  </si>
  <si>
    <t>unit</t>
  </si>
  <si>
    <t>Final</t>
  </si>
  <si>
    <t>WORK ORDER AMOUNT RS.</t>
  </si>
  <si>
    <t>Premium Type</t>
  </si>
  <si>
    <t>Construction of Aamli Fala Bridge and Kherveda Nai Basti to Veeri Border Via Kuniya Vali Mata Road</t>
  </si>
  <si>
    <t>M/s. Shri Bajrang Construction, Padli Gujareshwar, Dungarpur</t>
  </si>
  <si>
    <t>Ninth</t>
  </si>
  <si>
    <t>Ninth &amp; Final Bill</t>
  </si>
  <si>
    <t>1909 Dt. 17-07-2023</t>
  </si>
  <si>
    <t>51/2023-24</t>
  </si>
  <si>
    <t>Below</t>
  </si>
  <si>
    <r>
      <rPr>
        <b/>
        <sz val="7.5"/>
        <rFont val="Arial"/>
        <family val="2"/>
      </rPr>
      <t xml:space="preserve">PART -" A" - EARTH  WORK
</t>
    </r>
    <r>
      <rPr>
        <sz val="7.5"/>
        <rFont val="Arial MT"/>
        <family val="2"/>
      </rPr>
      <t xml:space="preserve">Clearing  and  grubbing  road  land  including uprooting   rank   vegetation,   grass,   brush, shrubs,  saplings   and  trees  of   girth  upto 300mm,   removal   of   stumps,   disposal   of unserviceable   Material   and   stacking   of serviceable Material upto 1000m  from  road boundary.  (MoRTH  Specification  :  Clause 201).
</t>
    </r>
    <r>
      <rPr>
        <sz val="7.5"/>
        <rFont val="Arial MT"/>
        <family val="2"/>
      </rPr>
      <t xml:space="preserve">BY MECHANICAL MEANS
</t>
    </r>
    <r>
      <rPr>
        <sz val="7.5"/>
        <rFont val="Arial MT"/>
        <family val="2"/>
      </rPr>
      <t>In area of Light Jungle</t>
    </r>
  </si>
  <si>
    <r>
      <rPr>
        <sz val="7.5"/>
        <rFont val="Arial MT"/>
        <family val="2"/>
      </rPr>
      <t>Hect.</t>
    </r>
  </si>
  <si>
    <r>
      <rPr>
        <sz val="7.5"/>
        <rFont val="Arial MT"/>
        <family val="2"/>
      </rPr>
      <t>Earthwork in excavation for roadway in soil, including   stacking   /   disposal   of   surplus Material exclusive of compensation of earth (MoRTH specification : clause 301 to 305). By  Hydraulic  Excavator  CK-90  of  0.9  cum bucket  capacity  and  tipper  with  disposal upto 1000 mtrs.</t>
    </r>
  </si>
  <si>
    <r>
      <rPr>
        <sz val="7.5"/>
        <rFont val="Arial MT"/>
        <family val="2"/>
      </rPr>
      <t>cum</t>
    </r>
  </si>
  <si>
    <r>
      <rPr>
        <sz val="7.5"/>
        <rFont val="Arial MT"/>
        <family val="2"/>
      </rPr>
      <t>Earthwork  in  excavation  in  ordinary  rock, including   stacking   /   disposal   of   surplus Material exclusive of compensation of earth (MoRTH specification : clause 301 to 305). By  Hydraulic  Excavator  CK-90  of  0.9  cum bucket  capacity  and  tipper  with  disposal upto 1000 mtrs.</t>
    </r>
  </si>
  <si>
    <r>
      <rPr>
        <sz val="7.5"/>
        <rFont val="Arial MT"/>
        <family val="2"/>
      </rPr>
      <t xml:space="preserve">Earthwork in excavation for roadway in hard rock,     including    stacking    /    disposal   of surplus  Material  exclusive  of compensation of earth (MoRTH specification : clause 301 to 305). Blasting  prohibited
</t>
    </r>
    <r>
      <rPr>
        <sz val="7.5"/>
        <rFont val="Arial MT"/>
        <family val="2"/>
      </rPr>
      <t>By Mechanical Means</t>
    </r>
  </si>
  <si>
    <r>
      <rPr>
        <sz val="7.5"/>
        <rFont val="Arial MT"/>
        <family val="2"/>
      </rPr>
      <t>Construction of embankment with approved Material  obtained  from  borrow-pits  with  all lifts    and    leads,    transporting    to    site, spreading,  grading  to  required  slope  and compacting by vibratory roller 8-10 tonne to meet  requirement  of  Table  300-2  including cost  of  compensation  for  earth  taken  from private  land  with  lead  upto  1  km  as  per MoRTH Specification : Clause No. 305.</t>
    </r>
  </si>
  <si>
    <r>
      <rPr>
        <sz val="7.5"/>
        <rFont val="Arial MT"/>
        <family val="2"/>
      </rPr>
      <t>Construction of embankment with approved Materials  deposited  at  site  from  roadway cutting   and   excavation   from   drain   and foundation  of  other  structures  graded  and compacted by vibratory roller 8-10 tonne to meet   requirement   of   Tale   300-2   as  per MoRTH specification : Clause No. 305</t>
    </r>
  </si>
  <si>
    <r>
      <rPr>
        <sz val="7.5"/>
        <rFont val="Arial MT"/>
        <family val="2"/>
      </rPr>
      <t>Construction   of   sub-grade   and   earthen shoulders  with  approved  Material  obtained from   borrow-pits   with  all  lifts  and  leads, transporting  to  site,  spreading,  grading  to require  slope  and  compacted  by  vibratory roller  8-10  tonne  to  meet  requirement  of Table  300-2  as  per  MoRTH  specification  : Clause No. 305.</t>
    </r>
  </si>
  <si>
    <r>
      <rPr>
        <b/>
        <sz val="7.5"/>
        <rFont val="Arial"/>
        <family val="2"/>
      </rPr>
      <t xml:space="preserve">PART -" B" - WBM &amp; Hard Shoulder </t>
    </r>
    <r>
      <rPr>
        <sz val="7.5"/>
        <rFont val="Arial MT"/>
        <family val="2"/>
      </rPr>
      <t>Providing, laying and spreading of granular sub-base    by    providing    coarse    graded Material,  spreading  in  uniform  layers  with motor grader on prepared surface mixing by mix in place method with rotavator at OMC, and   compacting   with   vibratory   roller   to achieve  the  desired  density,  complete  as per MoRTH Specification : clause No. 401. Grading-II</t>
    </r>
  </si>
  <si>
    <r>
      <rPr>
        <sz val="7.5"/>
        <rFont val="Arial MT"/>
        <family val="2"/>
      </rPr>
      <t>Cum</t>
    </r>
  </si>
  <si>
    <r>
      <rPr>
        <sz val="7.5"/>
        <rFont val="Arial MT"/>
        <family val="2"/>
      </rPr>
      <t xml:space="preserve">Providing,        laying,        spreading        and compacting       crushed       graded       stone aggregate as per Table 400-10 &amp; 400.11 to Wet  Mix  Macadam  specifications  including premixing the Material with water to OMC in mechanical  mixer  (Pug  mill)  as  per  design mix, carriage of mixed Material by tipper to site  laying   in  uniform   layers,  with  motor grader/F.E.  loader/Paver  Finisher,  in  sub- base/base course on a well prepared under base  and  compacting  with  Vibratory  Roller to   achieve   the   desired   density  including lighting,       guarding,       barricading       and maintenance   of   Driversion   etc.   (MoRTH specification  :  Clause  406).  with  all  lead  &amp; lift
</t>
    </r>
    <r>
      <rPr>
        <sz val="7.5"/>
        <rFont val="Arial MT"/>
        <family val="2"/>
      </rPr>
      <t>By mechanical means</t>
    </r>
  </si>
  <si>
    <r>
      <rPr>
        <b/>
        <sz val="7.5"/>
        <rFont val="Arial"/>
        <family val="2"/>
      </rPr>
      <t xml:space="preserve">PART -" C" - B.T. Work
</t>
    </r>
    <r>
      <rPr>
        <sz val="7.5"/>
        <rFont val="Arial MT"/>
        <family val="2"/>
      </rPr>
      <t>Providing  and  applying  primer  coat  over prepared   surface   of   granular   base   with bitumen    emulsion    as    per    IS:8887    &amp; manufacturer’s    specifications    @6    kg/10 sqm with a self propelled or towed bitumen pressure sprayer equipped for spraying the Material  uniformly  at  specified   rates  and temperatures   (including   cleaning   of   road surface)  as  per  MoRTH  specification  :  Cl. 502, 112</t>
    </r>
  </si>
  <si>
    <r>
      <rPr>
        <sz val="7.5"/>
        <rFont val="Arial MT"/>
        <family val="2"/>
      </rPr>
      <t>Sqm.</t>
    </r>
  </si>
  <si>
    <r>
      <rPr>
        <sz val="7.5"/>
        <rFont val="Arial MT"/>
        <family val="2"/>
      </rPr>
      <t>Providing  and  laying  open  graded  premix carpet     20mm     thick     (compacted),     on prepared   surface   in   a   single   course   as wearing   course,   composed   of   specified graded  crushed  aggregates  as  per  Table 500-23,  heating  bituminous  binder  @  14.6 kg/10 sqm and aggregates in Hot Mix Plant (including  cost  of  anti-stripping  compound, wherever  required),  transporting  the  mixed Material  with  tipper  and  laying  with  paver finisher  to  the  required  level  and  grade, rolling  with  power  roller,  8-10  tonne,  but excluding  cost  of  tack  coat  and  seal  coat with lead for mix of Material 1 km (MoRTH specification  :  clause  510,  112)  In  Hot  Mix Plant   40-60   TPH,   including   loading   of aggregates  with  F.E. loader  bitumen VG30 grade</t>
    </r>
  </si>
  <si>
    <r>
      <rPr>
        <sz val="7.5"/>
        <rFont val="Arial MT"/>
        <family val="2"/>
      </rPr>
      <t xml:space="preserve">Providing and applying Premixed Seal Coat type  “B”  comprising  of  thin  application  of fine   aggregate   (0.06   cum   per   10   sqm) premix  with  (6.8  kg  per  10  sqm)  bitumen binder    (including    cost    of    anti-stripping compound,  wherever  required)  in  mini  hot mix plant  6-10  TPH,  and  laying  with  paver finisher  and  rolling  with  power  roller  8-10 tonne,  including   all  lead   of  mix  Material (MoRTH  specification : clause 511).
</t>
    </r>
    <r>
      <rPr>
        <sz val="7.5"/>
        <rFont val="Arial MT"/>
        <family val="2"/>
      </rPr>
      <t>Bitumen VG30 grade</t>
    </r>
  </si>
  <si>
    <r>
      <rPr>
        <b/>
        <sz val="7.5"/>
        <rFont val="Arial"/>
        <family val="2"/>
      </rPr>
      <t xml:space="preserve">Part- D :-   Road Furnishing
</t>
    </r>
    <r>
      <rPr>
        <sz val="7.5"/>
        <rFont val="Arial MT"/>
        <family val="2"/>
      </rPr>
      <t xml:space="preserve">Kilometre Stone
</t>
    </r>
    <r>
      <rPr>
        <sz val="7.5"/>
        <rFont val="Arial MT"/>
        <family val="2"/>
      </rPr>
      <t xml:space="preserve">Reinforced    cement    concrete    M15grade kilometre  stone  of  standard  design  as  per IRC:8-1980,   fixing   in   position   including painting and printing etc
</t>
    </r>
    <r>
      <rPr>
        <sz val="7.5"/>
        <rFont val="Arial MT"/>
        <family val="2"/>
      </rPr>
      <t>Ordinary kilometer stone (precast)</t>
    </r>
  </si>
  <si>
    <r>
      <rPr>
        <sz val="7.5"/>
        <rFont val="Arial MT"/>
        <family val="2"/>
      </rPr>
      <t>No</t>
    </r>
  </si>
  <si>
    <r>
      <rPr>
        <sz val="7.5"/>
        <rFont val="Arial MT"/>
        <family val="2"/>
      </rPr>
      <t>Hectometer stone (precast)</t>
    </r>
  </si>
  <si>
    <r>
      <rPr>
        <sz val="7.5"/>
        <rFont val="Arial MT"/>
        <family val="2"/>
      </rPr>
      <t xml:space="preserve">Boundary pillar
</t>
    </r>
    <r>
      <rPr>
        <sz val="7.5"/>
        <rFont val="Arial MT"/>
        <family val="2"/>
      </rPr>
      <t>Reinforced   cement   concrete   M15   grade boundary  pillars  of  standard  design  as  per IRC:25-1967,   fixed   in   position   including finishing and lettering but excluding painting</t>
    </r>
  </si>
  <si>
    <r>
      <rPr>
        <sz val="7.5"/>
        <rFont val="Arial MT"/>
        <family val="2"/>
      </rPr>
      <t xml:space="preserve">Providing and Fixing of  Retro Reflectorised 900mm Cautionary sign boards made out of retro  reflective  sheeting  of  micro  prismatic grade  conforming  to  IRC-67:  2012  &amp;  Type XI      standards      of      ASTM      D4956-09 specifications,  fixed  over  2  mm  thick  Al   / 4mm  thick ACP sheet supported with Back support  frame   of   25x25x3mm   mild   steel angle  as  approved  ,  supported  on  a  mild steel angle iron post 75  mm  X 75 mm  X 6 mm   -  3   mtr   height,    firmly  fixed   to   the ground   by   means   of   properly   designed foundation with M20 grade cement concrete
</t>
    </r>
    <r>
      <rPr>
        <sz val="7.5"/>
        <rFont val="Arial MT"/>
        <family val="2"/>
      </rPr>
      <t>45  cm  X  45  cm  X  60  cm  ,  60  cm  below ground  level  as  per  approved  drawing.  10 years     Warranty     for     Retro     Reflective Sheeting     from     the     original     sheeting manufacturer  &amp;  a  certified  copy  of  three years   outdoor   exposure   report   from   an independent test lab for the product offered shall  be  submitted  by  the  contractor.  (This shall  be  used  only  for  N.H,  S.H  &amp;  M.S.H Roads).  Regulatory  sign  boards  of  90  cm Triangle. Size 90 cms. Triangle</t>
    </r>
  </si>
  <si>
    <r>
      <rPr>
        <sz val="7.5"/>
        <rFont val="Arial MT"/>
        <family val="2"/>
      </rPr>
      <t xml:space="preserve">Providing and Fixing of  Retro Reflectorised 600  x  800  mm  Facility  sign  boards  made out   of   retro   reflective   sheeting   of   micro prismatic grade conforming to IRC-67: 2012 &amp;  TypeXI   standards  of   ASTM  D4956-09 specifications,  fixed  over  2  mm  thick  Al   / 4mm  thick ACP sheet supported with Back support  frame   of   25x25x3mm   mild   steel angle  as  approved  ,  supported  on  a  mild steel angle iron post 75  mm  X 75 mm  X 6 mm   -  3   mtr   height,    firmly  fixed   to   the ground   by   means   of   properly   designed foundation with M20 grade cement concrete
</t>
    </r>
    <r>
      <rPr>
        <sz val="7.5"/>
        <rFont val="Arial MT"/>
        <family val="2"/>
      </rPr>
      <t>45  cm  X  45  cm  X  60  cm  ,  60  cm  below ground  level  as  per  approved  drawing.  10 years     Warranty     for     Retro     Reflective Sheeting     from     the     original     sheeting manufacturer  &amp;  a  certified  copy  of  three years   outdoor   exposure   report   from   an independent test lab for the product offered shall  be  submitted  by  the  contractor.  (This shall  be  used  only  for  N.H,  S.H  &amp;  M.S.H Roads). Regulatory sign  boards  of 60  x 80 cm Rectangle. Size 60 x 80 cms. Rectangle</t>
    </r>
  </si>
  <si>
    <r>
      <rPr>
        <sz val="7"/>
        <rFont val="Arial MT"/>
        <family val="2"/>
      </rPr>
      <t>Providing   and   Fixing   of   Retro   Reflectorised direction &amp; place identification sign boards made out  of  retro  reflective  sheeting  of  High  Intensity prismatic  grade  conforming  to  IRC-67:  2012  &amp; Type    XI    standards    of     ASTM    D4956-09 specifications,  fixed  over  2mm  thick  Al  /  4  mm thick  ACP  sheet  supported  with  Back  support frame of 35x35x5mm mild steel angle with areas not  exceeding  0.9  sqm.  Supported in  mild steel angle iron post 75x75x6mm - 3 mtr height ,firmly fixed to the grounf by means of properly designed foundation of M20 grade cement concrete 45 cm X  45  cm  X  60  cm  ,  60  cm  below  ground  level complete (as per MoRT&amp;H specification No.801) (for area Less than 0.9 sqm). 10 years Warranty for  Retro  Reflective  Sheeting  from  the  original sheeting manufacturer &amp; a certified copy of three years    outdoor    exposure    report    from    an independent test lab for the product offered shall be  submitted  by  the  contractor.  (This  shall  be used   only   for   N.H,   S.H   &amp;   M.S.H   Roads). Direction  Sign   boards   below  0.9  Sq.Mtr  Size Less than 0.9 SQ.Mtr Direction Sign Board</t>
    </r>
  </si>
  <si>
    <r>
      <rPr>
        <sz val="7.5"/>
        <rFont val="Arial MT"/>
        <family val="2"/>
      </rPr>
      <t xml:space="preserve">Road       Marking      with      Hot      Applied Thermoplastic            Compound            with Reflectorising  Glass  Beads  on  Bituminous Surface
</t>
    </r>
    <r>
      <rPr>
        <sz val="7.5"/>
        <rFont val="Arial MT"/>
        <family val="2"/>
      </rPr>
      <t>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r>
  </si>
  <si>
    <r>
      <rPr>
        <sz val="7.5"/>
        <rFont val="Arial MT"/>
        <family val="2"/>
      </rPr>
      <t>Sqm</t>
    </r>
  </si>
  <si>
    <r>
      <rPr>
        <sz val="7.5"/>
        <rFont val="Arial MT"/>
        <family val="2"/>
      </rPr>
      <t xml:space="preserve">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t>
    </r>
    <r>
      <rPr>
        <sz val="7.5"/>
        <rFont val="Arial MT"/>
        <family val="2"/>
      </rPr>
      <t>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approved     design     and     drawing,     rate excluding excavation and cement concrete.</t>
    </r>
  </si>
  <si>
    <r>
      <rPr>
        <sz val="7.5"/>
        <rFont val="Arial MT"/>
        <family val="2"/>
      </rPr>
      <t>Running metre</t>
    </r>
  </si>
  <si>
    <r>
      <rPr>
        <b/>
        <sz val="7.5"/>
        <rFont val="Arial"/>
        <family val="2"/>
      </rPr>
      <t xml:space="preserve">Part ''E'' CD Work
</t>
    </r>
    <r>
      <rPr>
        <sz val="7.5"/>
        <rFont val="Arial MT"/>
        <family val="2"/>
      </rPr>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n    ordinary    soil    [MoRTH Specification       :       clause       301]       BY MECHANICAL MEANS Depth upto 3m</t>
    </r>
  </si>
  <si>
    <r>
      <rPr>
        <sz val="7.5"/>
        <rFont val="Arial MT"/>
        <family val="2"/>
      </rPr>
      <t>1000mm dia HP 1 Row</t>
    </r>
  </si>
  <si>
    <r>
      <rPr>
        <sz val="7.5"/>
        <rFont val="Arial MT"/>
        <family val="2"/>
      </rPr>
      <t>1000mm dia HP 2 Row</t>
    </r>
  </si>
  <si>
    <r>
      <rPr>
        <sz val="7.5"/>
        <rFont val="Arial MT"/>
        <family val="2"/>
      </rPr>
      <t>RCC Bridge</t>
    </r>
  </si>
  <si>
    <r>
      <rPr>
        <sz val="7.5"/>
        <rFont val="Arial MT"/>
        <family val="2"/>
      </rPr>
      <t>Syphon</t>
    </r>
  </si>
  <si>
    <r>
      <rPr>
        <sz val="7.5"/>
        <rFont val="Arial MT"/>
        <family val="2"/>
      </rPr>
      <t>Retaining wall</t>
    </r>
  </si>
  <si>
    <r>
      <rPr>
        <sz val="7.5"/>
        <rFont val="Arial MT"/>
        <family val="2"/>
      </rPr>
      <t>VCW</t>
    </r>
  </si>
  <si>
    <r>
      <rPr>
        <sz val="7.5"/>
        <rFont val="Arial MT"/>
        <family val="2"/>
      </rPr>
      <t xml:space="preserve">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304].In    Ordinary/Soft    rock    (not requiring  blasting)  [MoRTH  Specification  : Clause 301]
</t>
    </r>
    <r>
      <rPr>
        <sz val="7.5"/>
        <rFont val="Arial MT"/>
        <family val="2"/>
      </rPr>
      <t>BY MECHANICAL MEANS</t>
    </r>
  </si>
  <si>
    <r>
      <rPr>
        <sz val="7.5"/>
        <rFont val="Arial MT"/>
        <family val="2"/>
      </rPr>
      <t>Earthwork  in  excavation  for  foundation  of structure  complete  with  all  lift,  dewatering, shoring and shuttering etc. including refilling of   trenches   in   250   mm   layer,  ramming, watering and disposal of surplus soil within a lead of 1000 meters, as per drawing and technical Earth in excavation for foundation of   specification.   [MoRTH   Specification   : Clause   304].      In   Hard   Rock   [MoRTH Specification   :   Clause   301,   302,   303]. Blasting Prohibited</t>
    </r>
  </si>
  <si>
    <r>
      <rPr>
        <sz val="7.5"/>
        <rFont val="Arial MT"/>
        <family val="2"/>
      </rPr>
      <t>Plain  Cement  Concrete  1:3:6  with  40mm nominal   mix   in   foundation   with   crushed stone    aggregate    40mm    nominal    size mechanically  mixed,  placed  in  foundation and compacted by vibrator including curing for  14  days.  (MoRTH  specification  clause  : 2100)</t>
    </r>
  </si>
  <si>
    <r>
      <rPr>
        <sz val="7.5"/>
        <rFont val="Arial MT"/>
        <family val="2"/>
      </rPr>
      <t xml:space="preserve">Structural  cement  concrete  (Design  Mix)  in open  foundations,  with  form  work,  at  any level.  Cement  concrete  for  plain/reinforced concrete    in    open    foundations    as    per drawing      and      technical      specification. [MoRTH   Specification   :   Section   1700   &amp; 1500].
</t>
    </r>
    <r>
      <rPr>
        <sz val="7.5"/>
        <rFont val="Arial MT"/>
        <family val="2"/>
      </rPr>
      <t xml:space="preserve">With 20mm nominal size aggregate
</t>
    </r>
    <r>
      <rPr>
        <sz val="7.5"/>
        <rFont val="Arial MT"/>
        <family val="2"/>
      </rPr>
      <t>P.C.C.  M-20 grade</t>
    </r>
  </si>
  <si>
    <r>
      <rPr>
        <sz val="7.5"/>
        <rFont val="Arial MT"/>
        <family val="2"/>
      </rPr>
      <t xml:space="preserve">Structural  cement  concrete  (Design  Mix)  in open  foundations,  with  form  work,  at  any level.  Cement  concrete  for  plain/reinforced concrete    in    open    foundations    as    per drawing      and      technical      specification. [MoRTH   Specification   :   Section   1700   &amp; 1500].
</t>
    </r>
    <r>
      <rPr>
        <sz val="7.5"/>
        <rFont val="Arial MT"/>
        <family val="2"/>
      </rPr>
      <t xml:space="preserve">With 20mm nominal size aggregate
</t>
    </r>
    <r>
      <rPr>
        <sz val="7.5"/>
        <rFont val="Arial MT"/>
        <family val="2"/>
      </rPr>
      <t>R.C.C.  M-25 grade</t>
    </r>
  </si>
  <si>
    <r>
      <rPr>
        <sz val="7.5"/>
        <rFont val="Arial MT"/>
        <family val="2"/>
      </rPr>
      <t xml:space="preserve">Providing     and     laying     Plain     Cement Concrete  M-15  mix  with  stone  aggregate 20mm   nominal   size   mechanically   mixed and  vibrated  in  foundation  upto  a  depth  of
</t>
    </r>
    <r>
      <rPr>
        <sz val="7.5"/>
        <rFont val="Arial MT"/>
        <family val="2"/>
      </rPr>
      <t>1.50  below  ground  level  and  or  1.50mtr. above ground/bed level.</t>
    </r>
  </si>
  <si>
    <r>
      <rPr>
        <sz val="7.5"/>
        <rFont val="Arial MT"/>
        <family val="2"/>
      </rPr>
      <t>Providing     and     laying     Plain     Cement Concrete  M-15  Mix  with  stone  aggregate 20mm   nominal   size   mechanically   mixed and vibrated, in superstructure upto 4 meter above  1.50  m  level  from  ground/bed  level. [MoRTH Specification : Clause 1000/1700]</t>
    </r>
  </si>
  <si>
    <r>
      <rPr>
        <sz val="7.5"/>
        <rFont val="Arial MT"/>
        <family val="2"/>
      </rPr>
      <t>Providing   and   laying   Reinforced   cement concrete  pipes  NP-3  for  culverts  including jointing  ends  and  fixing  collar  with  cement mortar  1:2.  (MoRTH  specification  :  clause 1000/2900). 1000mm dia</t>
    </r>
  </si>
  <si>
    <r>
      <rPr>
        <sz val="7.5"/>
        <rFont val="Arial MT"/>
        <family val="2"/>
      </rPr>
      <t>RM</t>
    </r>
  </si>
  <si>
    <r>
      <rPr>
        <sz val="7.5"/>
        <rFont val="Arial MT"/>
        <family val="2"/>
      </rPr>
      <t xml:space="preserve">Providing   and   laying   Reinforced   cement concrete  pipes  NP-3  for  culverts  including jointing  ends  and  fixing  collar  with  cement mortar  1:2.  (MoRTH  specification  :  clause 1000/2900)
</t>
    </r>
    <r>
      <rPr>
        <sz val="7.5"/>
        <rFont val="Arial MT"/>
        <family val="2"/>
      </rPr>
      <t>500mm dia</t>
    </r>
  </si>
  <si>
    <r>
      <rPr>
        <sz val="7.5"/>
        <rFont val="Arial MT"/>
        <family val="2"/>
      </rPr>
      <t>Providing  and  laying  RCC  M-20  mix  with stone    aggregate    20mm    (nominal    size) mechanically  mixed  and  vibrated  for  RCC work  in  slab  in  superstructure  upto  4  mtr. above 1.5 mtr. level from Bed/Ground level, excluding  steel  reinforcement  but  including centering  and  shuttering,  laid  in  position. (MoRTH specification : Clause 1000/1700)</t>
    </r>
  </si>
  <si>
    <r>
      <rPr>
        <sz val="7.5"/>
        <rFont val="Arial MT"/>
        <family val="2"/>
      </rPr>
      <t>Plastering  20mm  thick  with  cement  mortar (1:3)  on  Masonry  work  in  sub  structure  as per technical specifications.</t>
    </r>
  </si>
  <si>
    <r>
      <rPr>
        <sz val="7.5"/>
        <rFont val="Arial MT"/>
        <family val="2"/>
      </rPr>
      <t>sqm.</t>
    </r>
  </si>
  <si>
    <r>
      <rPr>
        <sz val="7.5"/>
        <rFont val="Arial MT"/>
        <family val="2"/>
      </rPr>
      <t xml:space="preserve">Structural  cement  concrete  (Design  Mix)  in open  foundations,  with  form  work,  at  any level.  Cement  concrete  for  plain/reinforced concrete    in    open    foundations    as    per drawing      and      technical      specification. [MoRTH   Specification   :   Section   1700   &amp; 1500].
</t>
    </r>
    <r>
      <rPr>
        <sz val="7.5"/>
        <rFont val="Arial MT"/>
        <family val="2"/>
      </rPr>
      <t xml:space="preserve">With 20mm nominal size aggregate
</t>
    </r>
    <r>
      <rPr>
        <sz val="7.5"/>
        <rFont val="Arial MT"/>
        <family val="2"/>
      </rPr>
      <t>P.C.C.  M-15 grade</t>
    </r>
  </si>
  <si>
    <r>
      <rPr>
        <sz val="7.5"/>
        <rFont val="Arial MT"/>
        <family val="2"/>
      </rPr>
      <t xml:space="preserve">Structural    cement     concrete     for    plain concrete/       reinforced       concrete       for substructure  at  any  level,  complete  as  per drawing and technical specification.
</t>
    </r>
    <r>
      <rPr>
        <sz val="7.5"/>
        <rFont val="Arial MT"/>
        <family val="2"/>
      </rPr>
      <t xml:space="preserve">Design      mix      concrete      –      [MoRTH Specification : Section 1500 &amp; 1700].
</t>
    </r>
    <r>
      <rPr>
        <sz val="7.5"/>
        <rFont val="Arial MT"/>
        <family val="2"/>
      </rPr>
      <t>PCC M-25 grade Upto 5 mtr. Height</t>
    </r>
  </si>
  <si>
    <r>
      <rPr>
        <sz val="7.5"/>
        <rFont val="Arial MT"/>
        <family val="2"/>
      </rPr>
      <t>Providing A.C. pipe Weep holes 150mm dia in      Masonry/plain      Concrete/Reinforced Concrete  abutment,  wing  wall/return  wall complete   as   per   drawing   and   technical specification.     [MoRTH     Specification     : Clause 2205].</t>
    </r>
  </si>
  <si>
    <r>
      <rPr>
        <sz val="7.5"/>
        <rFont val="Arial MT"/>
        <family val="2"/>
      </rPr>
      <t>R.Mtr.</t>
    </r>
  </si>
  <si>
    <r>
      <rPr>
        <sz val="7.5"/>
        <rFont val="Arial MT"/>
        <family val="2"/>
      </rPr>
      <t xml:space="preserve">Steel      reinforcement      in      substructure complete.  [MoRTH  Specification  :  Section 1600]
</t>
    </r>
    <r>
      <rPr>
        <sz val="7.5"/>
        <rFont val="Arial MT"/>
        <family val="2"/>
      </rPr>
      <t>HYSD reinforcement</t>
    </r>
  </si>
  <si>
    <r>
      <rPr>
        <sz val="7.5"/>
        <rFont val="Arial MT"/>
        <family val="2"/>
      </rPr>
      <t>Tonne</t>
    </r>
  </si>
  <si>
    <r>
      <rPr>
        <sz val="7.5"/>
        <rFont val="Arial MT"/>
        <family val="2"/>
      </rPr>
      <t xml:space="preserve">Providing  and  laying  steel reinforcement at any  level  in  foundation  complete  as  per drawing      and      technical      specification. [MoRTH Specification : Section 1600].
</t>
    </r>
    <r>
      <rPr>
        <sz val="7.5"/>
        <rFont val="Arial MT"/>
        <family val="2"/>
      </rPr>
      <t>HYSD bar reinforcement</t>
    </r>
  </si>
  <si>
    <r>
      <rPr>
        <sz val="7.5"/>
        <rFont val="Arial MT"/>
        <family val="2"/>
      </rPr>
      <t>Structural RCC/PSC upto a height of 5 mtr. for   reinforced   concrete   in   superstructure complete      including      steel      formwork, scaffolding    etc.    As    per    drawing    and technical specification.Design mix concrete. [MoRTH Specification : 1500  &amp; 1700].RCC M-30 grade Solid slab superstructure</t>
    </r>
  </si>
  <si>
    <r>
      <rPr>
        <sz val="7.5"/>
        <rFont val="Arial MT"/>
        <family val="2"/>
      </rPr>
      <t>Reinforced  cement  concrete  wearing  coat M-30 grade at any level including formwork and reinforcement complete as per drawing and     technical     Specification.     [MoRTH Specification : Clause 2204, 1500 &amp; 1700].</t>
    </r>
  </si>
  <si>
    <r>
      <rPr>
        <sz val="7.5"/>
        <rFont val="Arial MT"/>
        <family val="2"/>
      </rPr>
      <t>Providing   and   Laying   PCC   M-15   grade leveling    course    below    approach    slab complete   as   per   drawing   and   technical specifications. [MoRTH specification : 2700]</t>
    </r>
  </si>
  <si>
    <r>
      <rPr>
        <sz val="7.5"/>
        <rFont val="Arial MT"/>
        <family val="2"/>
      </rPr>
      <t>Reinforced   cement   concrete   M-30   grade approach  slab  including  reinforcement  and formwork   complete   as   per   drawing   and technical          specifications.          [MoRTH specification : 1500, 1600, 1700, 2704]</t>
    </r>
  </si>
  <si>
    <r>
      <rPr>
        <sz val="7.5"/>
        <rFont val="Arial MT"/>
        <family val="2"/>
      </rPr>
      <t>Providing      and      laying      HYSD      bar reinforcement at any level in superstructure complete   as   per   drawing   and   technical Specification.     [MoRTH     Specification     : Section 1600]</t>
    </r>
  </si>
  <si>
    <r>
      <rPr>
        <sz val="7.5"/>
        <rFont val="Arial MT"/>
        <family val="2"/>
      </rPr>
      <t>Providing and filling in foundation trenches, and   back   filling   behind   abutments,   wing walls,  return  wall  etc.,  and  below  pipe  bed in    layers    not    exceeding    150mm    thick including watering and compacting (IRC-78) complete   as   per   drawing   and   technical specifications  (MoRTH  specification  710  &amp; 2200)  including  all  lead  and  lifts.  Selected granular     Material     in     filling     (MoRTH specification : Clause 2200).</t>
    </r>
  </si>
  <si>
    <r>
      <rPr>
        <sz val="7.5"/>
        <rFont val="Arial MT"/>
        <family val="2"/>
      </rPr>
      <t>Filter  medium  behind  abutment,  wing  wall and  return  wall,  complete  as  per  drawing and    technical    specification.    (Same    as R7.20.3)   [MoRTH   Specification   :   Clause 2504].</t>
    </r>
  </si>
  <si>
    <r>
      <rPr>
        <sz val="7.5"/>
        <rFont val="Arial MT"/>
        <family val="2"/>
      </rPr>
      <t>Providing,  laying  and  fixing  of  Filler  Joint Providing  and  fixing  2mm  thick  Corrugated Copper Plate in expansion joint complete as per  drawing  and  technical  specifications  in MoRTH specification : clause 2605.</t>
    </r>
  </si>
  <si>
    <r>
      <rPr>
        <sz val="7.5"/>
        <rFont val="Arial MT"/>
        <family val="2"/>
      </rPr>
      <t>Mtr</t>
    </r>
  </si>
  <si>
    <r>
      <rPr>
        <sz val="7.5"/>
        <rFont val="Arial MT"/>
        <family val="2"/>
      </rPr>
      <t>Supply of flood gauge (water gauge) as per IRC 67 standard 200cm long fixed on angle iron posts 50×50×6mm 2.6m long</t>
    </r>
  </si>
  <si>
    <r>
      <rPr>
        <sz val="7.5"/>
        <rFont val="Arial MT"/>
        <family val="2"/>
      </rPr>
      <t>Nos</t>
    </r>
  </si>
  <si>
    <r>
      <rPr>
        <sz val="7.5"/>
        <rFont val="Arial MT"/>
        <family val="2"/>
      </rPr>
      <t>Providing  and  Laying  un-reinforced,  dowel jointed,  plain  cement  concrete  pavement over  a  prepared  sub-base  with  43  grade cement,     coarse     and     fine     aggregate conforming   to   IS:383,   maximum   size   of coarse   aggregate   not   exceeding   25mm,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and  vacuum  processing  pump as approved, curing compound, finishing to lines  and  grades  as  per  drawing  as  per MoRTH   Specification   :   Clause   No.   602, 112.Using       Cement       concrete       M-20 pavement Grade</t>
    </r>
  </si>
  <si>
    <r>
      <rPr>
        <sz val="7.5"/>
        <rFont val="Arial MT"/>
        <family val="2"/>
      </rPr>
      <t>Providing     and     laying     graded     stone aggregate      filter      Material      underneath pitching on slopes complete as per drawing and     technical     specification.     (MoRTH specification : clause 2504).</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</si>
</sst>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20">
    <font>
      <sz val="11"/>
      <color theme="1"/>
      <name val="Calibri"/>
      <family val="2"/>
      <scheme val="minor"/>
    </font>
    <font>
      <sz val="12"/>
      <name val="Arial"/>
      <family val="2"/>
    </font>
    <font>
      <sz val="10"/>
      <name val="Arial"/>
      <family val="2"/>
    </font>
    <font>
      <sz val="11"/>
      <color theme="1"/>
      <name val="Calibri"/>
      <family val="2"/>
      <scheme val="minor"/>
    </font>
    <font>
      <sz val="10"/>
      <name val="Helv"/>
      <charset val="204"/>
    </font>
    <font>
      <sz val="10"/>
      <name val="Helv"/>
      <family val="2"/>
    </font>
    <font>
      <sz val="9"/>
      <name val="Calibri"/>
      <family val="2"/>
    </font>
    <font>
      <b/>
      <sz val="9"/>
      <name val="Calibri"/>
      <family val="2"/>
    </font>
    <font>
      <sz val="9"/>
      <color theme="1"/>
      <name val="Calibri"/>
      <family val="2"/>
      <scheme val="minor"/>
    </font>
    <font>
      <sz val="9"/>
      <color theme="1"/>
      <name val="Calibri"/>
      <family val="2"/>
    </font>
    <font>
      <b/>
      <u/>
      <sz val="9"/>
      <name val="Calibri"/>
      <family val="2"/>
    </font>
    <font>
      <sz val="9"/>
      <color rgb="FFFF0000"/>
      <name val="Calibri"/>
      <family val="2"/>
    </font>
    <font>
      <b/>
      <sz val="9"/>
      <color rgb="FFFF0000"/>
      <name val="Calibri"/>
      <family val="2"/>
      <scheme val="minor"/>
    </font>
    <font>
      <sz val="7.5"/>
      <color rgb="FF000000"/>
      <name val="Arial MT"/>
      <family val="2"/>
    </font>
    <font>
      <b/>
      <sz val="7.5"/>
      <name val="Arial"/>
      <family val="2"/>
    </font>
    <font>
      <sz val="7.5"/>
      <name val="Arial MT"/>
      <family val="2"/>
    </font>
    <font>
      <sz val="7.5"/>
      <name val="Arial MT"/>
    </font>
    <font>
      <b/>
      <sz val="7.5"/>
      <color rgb="FF000000"/>
      <name val="Arial"/>
      <family val="2"/>
    </font>
    <font>
      <sz val="7"/>
      <name val="Arial MT"/>
    </font>
    <font>
      <sz val="7"/>
      <name val="Arial MT"/>
      <family val="2"/>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0" fontId="1" fillId="0" borderId="0"/>
    <xf numFmtId="0" fontId="4" fillId="0" borderId="0"/>
    <xf numFmtId="0" fontId="4" fillId="0" borderId="0"/>
    <xf numFmtId="0" fontId="5" fillId="0" borderId="0"/>
    <xf numFmtId="0" fontId="2" fillId="0" borderId="0"/>
    <xf numFmtId="0" fontId="3" fillId="0" borderId="0"/>
    <xf numFmtId="9" fontId="3" fillId="0" borderId="0" applyFont="0" applyFill="0" applyBorder="0" applyAlignment="0" applyProtection="0"/>
  </cellStyleXfs>
  <cellXfs count="78">
    <xf numFmtId="0" fontId="0" fillId="0" borderId="0" xfId="0"/>
    <xf numFmtId="0" fontId="6" fillId="0" borderId="0" xfId="1" applyFont="1" applyAlignment="1">
      <alignment horizontal="center" vertical="top" wrapText="1"/>
    </xf>
    <xf numFmtId="0" fontId="6" fillId="0" borderId="0" xfId="1" applyFont="1"/>
    <xf numFmtId="0" fontId="6" fillId="0" borderId="0" xfId="1" applyFont="1" applyAlignment="1">
      <alignment vertical="top" wrapText="1"/>
    </xf>
    <xf numFmtId="0" fontId="6" fillId="0" borderId="0" xfId="1"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1" xfId="0" applyFont="1" applyBorder="1" applyAlignment="1">
      <alignment vertical="top" wrapText="1"/>
    </xf>
    <xf numFmtId="0" fontId="6" fillId="0" borderId="0" xfId="1" applyFont="1" applyAlignment="1">
      <alignment horizontal="center"/>
    </xf>
    <xf numFmtId="0" fontId="6" fillId="0" borderId="0" xfId="1" applyFont="1" applyAlignment="1">
      <alignment horizontal="center" vertical="top"/>
    </xf>
    <xf numFmtId="0" fontId="6" fillId="0" borderId="1" xfId="1" applyFont="1" applyBorder="1"/>
    <xf numFmtId="0" fontId="10" fillId="0" borderId="0" xfId="1" applyFont="1" applyAlignment="1">
      <alignment horizontal="center"/>
    </xf>
    <xf numFmtId="0" fontId="6" fillId="0" borderId="0" xfId="1" applyFont="1" applyAlignment="1">
      <alignment horizontal="left" vertical="top"/>
    </xf>
    <xf numFmtId="0" fontId="6" fillId="0" borderId="1" xfId="1" applyFont="1" applyBorder="1" applyAlignment="1">
      <alignment horizontal="center" vertical="top" wrapText="1"/>
    </xf>
    <xf numFmtId="0" fontId="6" fillId="0" borderId="1" xfId="1" applyFont="1" applyBorder="1" applyAlignment="1">
      <alignment horizontal="center" vertical="top"/>
    </xf>
    <xf numFmtId="0" fontId="6" fillId="0" borderId="1" xfId="1" applyFont="1" applyBorder="1" applyAlignment="1">
      <alignment vertical="top" wrapText="1"/>
    </xf>
    <xf numFmtId="2" fontId="6" fillId="0" borderId="1" xfId="1" applyNumberFormat="1" applyFont="1" applyBorder="1"/>
    <xf numFmtId="0" fontId="6" fillId="0" borderId="1" xfId="1" applyFont="1" applyBorder="1" applyAlignment="1">
      <alignment horizontal="justify" vertical="top" wrapText="1"/>
    </xf>
    <xf numFmtId="0" fontId="8" fillId="0" borderId="1" xfId="0" applyFont="1" applyBorder="1" applyAlignment="1">
      <alignment horizontal="center"/>
    </xf>
    <xf numFmtId="0" fontId="9" fillId="0" borderId="2"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xf>
    <xf numFmtId="0" fontId="6" fillId="0" borderId="6" xfId="1" applyFont="1" applyBorder="1" applyAlignment="1">
      <alignment horizontal="center" vertical="top"/>
    </xf>
    <xf numFmtId="0" fontId="6" fillId="0" borderId="6" xfId="1" applyFont="1" applyBorder="1" applyAlignment="1">
      <alignment horizontal="justify" vertical="top" wrapText="1"/>
    </xf>
    <xf numFmtId="0" fontId="8" fillId="0" borderId="3" xfId="0" applyFont="1" applyBorder="1" applyAlignment="1">
      <alignment vertical="top" wrapText="1"/>
    </xf>
    <xf numFmtId="0" fontId="8" fillId="0" borderId="4" xfId="0" applyFont="1" applyBorder="1" applyAlignment="1">
      <alignment vertical="top"/>
    </xf>
    <xf numFmtId="0" fontId="8" fillId="0" borderId="0" xfId="0" quotePrefix="1" applyFont="1" applyAlignment="1">
      <alignment horizontal="center" vertical="top"/>
    </xf>
    <xf numFmtId="0" fontId="8" fillId="0" borderId="0" xfId="0" applyFont="1" applyFill="1" applyBorder="1" applyAlignment="1">
      <alignment vertical="top"/>
    </xf>
    <xf numFmtId="0" fontId="6" fillId="0" borderId="0" xfId="1" applyFont="1" applyFill="1" applyBorder="1"/>
    <xf numFmtId="0" fontId="7" fillId="0" borderId="0" xfId="1" applyFont="1" applyFill="1" applyBorder="1"/>
    <xf numFmtId="0" fontId="6" fillId="0" borderId="0" xfId="1" applyFont="1" applyFill="1" applyBorder="1" applyAlignment="1">
      <alignment vertical="top"/>
    </xf>
    <xf numFmtId="0" fontId="7" fillId="0" borderId="0" xfId="1" applyFont="1" applyFill="1" applyBorder="1" applyAlignment="1">
      <alignment horizontal="left"/>
    </xf>
    <xf numFmtId="0" fontId="0" fillId="0" borderId="0" xfId="0" applyFill="1" applyBorder="1"/>
    <xf numFmtId="14" fontId="7" fillId="0" borderId="0" xfId="1" applyNumberFormat="1" applyFont="1" applyFill="1" applyBorder="1" applyAlignment="1">
      <alignment horizontal="left"/>
    </xf>
    <xf numFmtId="14" fontId="7" fillId="0" borderId="0" xfId="1" applyNumberFormat="1" applyFont="1" applyFill="1" applyBorder="1" applyAlignment="1">
      <alignment horizontal="left" vertical="top" wrapText="1"/>
    </xf>
    <xf numFmtId="0" fontId="6" fillId="0" borderId="0" xfId="1" applyFont="1" applyFill="1" applyBorder="1" applyAlignment="1">
      <alignment horizontal="left" vertical="top" wrapText="1"/>
    </xf>
    <xf numFmtId="1" fontId="7" fillId="0" borderId="0" xfId="1" applyNumberFormat="1" applyFont="1" applyFill="1" applyBorder="1" applyAlignment="1">
      <alignment horizontal="left" vertical="top" wrapText="1"/>
    </xf>
    <xf numFmtId="0" fontId="11" fillId="0" borderId="0" xfId="1" applyFont="1" applyAlignment="1">
      <alignment vertical="top"/>
    </xf>
    <xf numFmtId="0" fontId="11" fillId="0" borderId="0" xfId="1" applyFont="1"/>
    <xf numFmtId="0" fontId="12" fillId="0" borderId="7" xfId="0" applyFont="1" applyBorder="1" applyAlignment="1">
      <alignment vertical="top"/>
    </xf>
    <xf numFmtId="0" fontId="6" fillId="0" borderId="0" xfId="1" applyFont="1" applyAlignment="1">
      <alignment horizontal="left"/>
    </xf>
    <xf numFmtId="0" fontId="8" fillId="0" borderId="0" xfId="0" applyFont="1" applyAlignment="1">
      <alignment horizontal="center" vertical="top"/>
    </xf>
    <xf numFmtId="0" fontId="8" fillId="0" borderId="5" xfId="0" applyFont="1" applyBorder="1" applyAlignment="1">
      <alignment horizontal="center" vertical="top"/>
    </xf>
    <xf numFmtId="1" fontId="13" fillId="0" borderId="8" xfId="0" applyNumberFormat="1" applyFont="1" applyFill="1" applyBorder="1" applyAlignment="1">
      <alignment horizontal="center" vertical="top" shrinkToFit="1"/>
    </xf>
    <xf numFmtId="0" fontId="0" fillId="0" borderId="8" xfId="0" applyFill="1" applyBorder="1" applyAlignment="1">
      <alignment horizontal="left" vertical="top" wrapText="1"/>
    </xf>
    <xf numFmtId="0" fontId="16" fillId="0" borderId="8" xfId="0" applyFont="1" applyFill="1" applyBorder="1" applyAlignment="1">
      <alignment horizontal="center" vertical="top" wrapText="1"/>
    </xf>
    <xf numFmtId="164" fontId="13" fillId="0" borderId="8" xfId="0" applyNumberFormat="1" applyFont="1" applyFill="1" applyBorder="1" applyAlignment="1">
      <alignment horizontal="right" vertical="top" shrinkToFit="1"/>
    </xf>
    <xf numFmtId="2" fontId="13" fillId="0" borderId="8" xfId="0" applyNumberFormat="1" applyFont="1" applyFill="1" applyBorder="1" applyAlignment="1">
      <alignment horizontal="right" vertical="top" shrinkToFit="1"/>
    </xf>
    <xf numFmtId="2" fontId="17" fillId="0" borderId="8" xfId="0" applyNumberFormat="1" applyFont="1" applyFill="1" applyBorder="1" applyAlignment="1">
      <alignment horizontal="right" vertical="top" shrinkToFit="1"/>
    </xf>
    <xf numFmtId="0" fontId="0" fillId="0" borderId="0" xfId="0" applyFill="1" applyBorder="1" applyAlignment="1">
      <alignment horizontal="left" vertical="top"/>
    </xf>
    <xf numFmtId="1" fontId="13" fillId="0" borderId="9" xfId="0" applyNumberFormat="1" applyFont="1" applyFill="1" applyBorder="1" applyAlignment="1">
      <alignment horizontal="center" vertical="top" shrinkToFit="1"/>
    </xf>
    <xf numFmtId="0" fontId="16" fillId="0" borderId="9" xfId="0" applyFont="1" applyFill="1" applyBorder="1" applyAlignment="1">
      <alignment horizontal="left" vertical="top" wrapText="1"/>
    </xf>
    <xf numFmtId="0" fontId="16" fillId="0" borderId="9" xfId="0" applyFont="1" applyFill="1" applyBorder="1" applyAlignment="1">
      <alignment horizontal="center" vertical="top" wrapText="1"/>
    </xf>
    <xf numFmtId="164" fontId="13" fillId="0" borderId="9" xfId="0" applyNumberFormat="1" applyFont="1" applyFill="1" applyBorder="1" applyAlignment="1">
      <alignment horizontal="right" vertical="top" shrinkToFit="1"/>
    </xf>
    <xf numFmtId="2" fontId="13" fillId="0" borderId="9" xfId="0" applyNumberFormat="1" applyFont="1" applyFill="1" applyBorder="1" applyAlignment="1">
      <alignment horizontal="right" vertical="top" shrinkToFit="1"/>
    </xf>
    <xf numFmtId="2" fontId="17" fillId="0" borderId="9" xfId="0" applyNumberFormat="1" applyFont="1" applyFill="1" applyBorder="1" applyAlignment="1">
      <alignment horizontal="right" vertical="top" shrinkToFit="1"/>
    </xf>
    <xf numFmtId="0" fontId="0" fillId="0" borderId="9" xfId="0" applyFill="1" applyBorder="1" applyAlignment="1">
      <alignment horizontal="left" vertical="top" wrapText="1"/>
    </xf>
    <xf numFmtId="164" fontId="13" fillId="0" borderId="9" xfId="0" applyNumberFormat="1" applyFont="1" applyFill="1" applyBorder="1" applyAlignment="1">
      <alignment horizontal="center" vertical="top" shrinkToFit="1"/>
    </xf>
    <xf numFmtId="1" fontId="13" fillId="0" borderId="9" xfId="0" applyNumberFormat="1" applyFont="1" applyFill="1" applyBorder="1" applyAlignment="1">
      <alignment horizontal="right" vertical="top" indent="3" shrinkToFit="1"/>
    </xf>
    <xf numFmtId="0" fontId="18" fillId="0" borderId="9" xfId="0" applyFont="1" applyFill="1" applyBorder="1" applyAlignment="1">
      <alignment horizontal="left" vertical="top" wrapText="1"/>
    </xf>
    <xf numFmtId="0" fontId="16" fillId="0" borderId="10" xfId="0" applyFont="1" applyFill="1" applyBorder="1" applyAlignment="1">
      <alignment horizontal="center" vertical="top" wrapText="1"/>
    </xf>
    <xf numFmtId="2" fontId="13" fillId="0" borderId="9" xfId="0" applyNumberFormat="1" applyFont="1" applyFill="1" applyBorder="1" applyAlignment="1">
      <alignment horizontal="center" vertical="top" shrinkToFit="1"/>
    </xf>
    <xf numFmtId="0" fontId="16" fillId="0" borderId="9" xfId="0" applyFont="1" applyFill="1" applyBorder="1" applyAlignment="1">
      <alignment horizontal="left" vertical="top" wrapText="1" indent="1"/>
    </xf>
    <xf numFmtId="0" fontId="16" fillId="0" borderId="9" xfId="0" applyFont="1" applyFill="1" applyBorder="1" applyAlignment="1">
      <alignment horizontal="left" vertical="top" wrapText="1" indent="2"/>
    </xf>
    <xf numFmtId="0" fontId="16" fillId="0" borderId="10" xfId="0" applyFont="1" applyFill="1" applyBorder="1" applyAlignment="1">
      <alignment horizontal="left" vertical="top" wrapText="1" indent="1"/>
    </xf>
    <xf numFmtId="0" fontId="16" fillId="0" borderId="9" xfId="0" applyFont="1" applyFill="1" applyBorder="1" applyAlignment="1">
      <alignment horizontal="right" vertical="top" wrapText="1" indent="1"/>
    </xf>
    <xf numFmtId="0" fontId="16" fillId="0" borderId="10" xfId="0" applyFont="1" applyFill="1" applyBorder="1" applyAlignment="1">
      <alignment horizontal="right" vertical="top" wrapText="1" indent="1"/>
    </xf>
    <xf numFmtId="0" fontId="16" fillId="0" borderId="9" xfId="0" applyFont="1" applyFill="1" applyBorder="1" applyAlignment="1">
      <alignment horizontal="right" vertical="top" wrapText="1" indent="2"/>
    </xf>
    <xf numFmtId="2" fontId="8" fillId="0" borderId="0" xfId="7" applyNumberFormat="1" applyFont="1" applyFill="1" applyBorder="1" applyAlignment="1">
      <alignment horizontal="left" vertical="top"/>
    </xf>
    <xf numFmtId="2" fontId="12" fillId="0" borderId="7" xfId="7" applyNumberFormat="1" applyFont="1" applyBorder="1" applyAlignment="1">
      <alignment vertical="top"/>
    </xf>
    <xf numFmtId="0" fontId="6" fillId="0" borderId="11" xfId="1" applyFont="1" applyBorder="1" applyAlignment="1">
      <alignment horizontal="center" vertical="top" wrapText="1"/>
    </xf>
    <xf numFmtId="0" fontId="8" fillId="0" borderId="12" xfId="0" applyFont="1" applyBorder="1" applyAlignment="1">
      <alignment vertical="top" wrapText="1"/>
    </xf>
    <xf numFmtId="0" fontId="8" fillId="0" borderId="13" xfId="0" applyFont="1" applyBorder="1" applyAlignment="1">
      <alignment vertical="top"/>
    </xf>
    <xf numFmtId="0" fontId="8" fillId="0" borderId="6" xfId="0" applyFont="1" applyBorder="1" applyAlignment="1">
      <alignment vertical="top" wrapText="1"/>
    </xf>
    <xf numFmtId="0" fontId="8" fillId="0" borderId="6" xfId="0" applyFont="1" applyBorder="1" applyAlignment="1">
      <alignment vertical="top"/>
    </xf>
    <xf numFmtId="0" fontId="8" fillId="0" borderId="6" xfId="0" quotePrefix="1" applyFont="1" applyBorder="1" applyAlignment="1">
      <alignment horizontal="center" vertical="top"/>
    </xf>
    <xf numFmtId="2" fontId="12" fillId="0" borderId="6" xfId="0" applyNumberFormat="1" applyFont="1" applyBorder="1" applyAlignment="1">
      <alignment vertical="top"/>
    </xf>
    <xf numFmtId="0" fontId="12" fillId="0" borderId="6" xfId="0" applyFont="1" applyBorder="1" applyAlignment="1">
      <alignment vertical="top"/>
    </xf>
  </cellXfs>
  <cellStyles count="8">
    <cellStyle name="Normal" xfId="0" builtinId="0"/>
    <cellStyle name="Normal 13" xfId="5"/>
    <cellStyle name="Normal 2" xfId="1"/>
    <cellStyle name="Normal 8 2 2" xfId="6"/>
    <cellStyle name="Percent" xfId="7" builtinId="5"/>
    <cellStyle name="Style 1" xfId="2"/>
    <cellStyle name="Style 1 2" xfId="4"/>
    <cellStyle name="Style 1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1</xdr:col>
      <xdr:colOff>225805</xdr:colOff>
      <xdr:row>1</xdr:row>
      <xdr:rowOff>0</xdr:rowOff>
    </xdr:from>
    <xdr:ext cx="736600" cy="205104"/>
    <xdr:sp macro="" textlink="">
      <xdr:nvSpPr>
        <xdr:cNvPr id="2" name="Textbox 7"/>
        <xdr:cNvSpPr txBox="1"/>
      </xdr:nvSpPr>
      <xdr:spPr>
        <a:xfrm>
          <a:off x="940180" y="323850"/>
          <a:ext cx="736600" cy="205104"/>
        </a:xfrm>
        <a:prstGeom prst="rect">
          <a:avLst/>
        </a:prstGeom>
      </xdr:spPr>
      <xdr:txBody>
        <a:bodyPr vertOverflow="clip" lIns="0" tIns="0" rIns="0" bIns="0" anchor="t"/>
        <a:lstStyle/>
        <a:p>
          <a:r>
            <a:rPr sz="750" b="1" spc="5">
              <a:solidFill>
                <a:srgbClr val="FFFFFF"/>
              </a:solidFill>
              <a:latin typeface="Calibri"/>
              <a:cs typeface="Calibri"/>
            </a:rPr>
            <a:t>P</a:t>
          </a:r>
          <a:r>
            <a:rPr sz="750" b="1" spc="0">
              <a:solidFill>
                <a:srgbClr val="FFFFFF"/>
              </a:solidFill>
              <a:latin typeface="Calibri"/>
              <a:cs typeface="Calibri"/>
            </a:rPr>
            <a:t>rit</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225805</xdr:colOff>
      <xdr:row>1</xdr:row>
      <xdr:rowOff>0</xdr:rowOff>
    </xdr:from>
    <xdr:ext cx="736600" cy="205104"/>
    <xdr:sp macro="" textlink="">
      <xdr:nvSpPr>
        <xdr:cNvPr id="2" name="Textbox 7"/>
        <xdr:cNvSpPr txBox="1"/>
      </xdr:nvSpPr>
      <xdr:spPr>
        <a:xfrm>
          <a:off x="1044955" y="152400"/>
          <a:ext cx="736600" cy="205104"/>
        </a:xfrm>
        <a:prstGeom prst="rect">
          <a:avLst/>
        </a:prstGeom>
      </xdr:spPr>
      <xdr:txBody>
        <a:bodyPr vertOverflow="clip" lIns="0" tIns="0" rIns="0" bIns="0" anchor="t"/>
        <a:lstStyle/>
        <a:p>
          <a:r>
            <a:rPr sz="750" b="1" spc="5">
              <a:solidFill>
                <a:srgbClr val="FFFFFF"/>
              </a:solidFill>
              <a:latin typeface="Calibri"/>
              <a:cs typeface="Calibri"/>
            </a:rPr>
            <a:t>P</a:t>
          </a:r>
          <a:r>
            <a:rPr sz="750" b="1" spc="0">
              <a:solidFill>
                <a:srgbClr val="FFFFFF"/>
              </a:solidFill>
              <a:latin typeface="Calibri"/>
              <a:cs typeface="Calibri"/>
            </a:rPr>
            <a:t>rit</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9"/>
  <sheetViews>
    <sheetView workbookViewId="0">
      <selection activeCell="B18" sqref="B18"/>
    </sheetView>
  </sheetViews>
  <sheetFormatPr defaultRowHeight="15"/>
  <cols>
    <col min="1" max="1" width="32" style="32" bestFit="1" customWidth="1"/>
    <col min="2" max="2" width="74.42578125" style="32" bestFit="1" customWidth="1"/>
    <col min="3" max="16384" width="9.140625" style="32"/>
  </cols>
  <sheetData>
    <row r="1" spans="1:2" s="28" customFormat="1" ht="15" customHeight="1">
      <c r="A1" s="28" t="s">
        <v>7</v>
      </c>
    </row>
    <row r="2" spans="1:2" s="28" customFormat="1" ht="15" customHeight="1">
      <c r="A2" s="35" t="s">
        <v>40</v>
      </c>
      <c r="B2" s="35" t="s">
        <v>50</v>
      </c>
    </row>
    <row r="3" spans="1:2" s="28" customFormat="1" ht="15" customHeight="1">
      <c r="A3" s="35" t="s">
        <v>41</v>
      </c>
      <c r="B3" s="35" t="s">
        <v>45</v>
      </c>
    </row>
    <row r="4" spans="1:2" s="28" customFormat="1" ht="15" customHeight="1">
      <c r="A4" s="35" t="s">
        <v>43</v>
      </c>
      <c r="B4" s="35"/>
    </row>
    <row r="5" spans="1:2" s="28" customFormat="1" ht="12">
      <c r="A5" s="29" t="s">
        <v>17</v>
      </c>
      <c r="B5" s="30" t="s">
        <v>49</v>
      </c>
    </row>
    <row r="6" spans="1:2" s="28" customFormat="1" ht="12">
      <c r="A6" s="29" t="s">
        <v>18</v>
      </c>
      <c r="B6" s="30" t="s">
        <v>48</v>
      </c>
    </row>
    <row r="7" spans="1:2" s="28" customFormat="1" ht="12">
      <c r="A7" s="29" t="s">
        <v>19</v>
      </c>
      <c r="B7" s="31" t="s">
        <v>51</v>
      </c>
    </row>
    <row r="8" spans="1:2" s="28" customFormat="1" ht="12">
      <c r="A8" s="29" t="s">
        <v>20</v>
      </c>
      <c r="B8" s="31" t="s">
        <v>21</v>
      </c>
    </row>
    <row r="9" spans="1:2" s="28" customFormat="1" ht="12">
      <c r="A9" s="29" t="s">
        <v>22</v>
      </c>
      <c r="B9" s="31" t="s">
        <v>52</v>
      </c>
    </row>
    <row r="10" spans="1:2" s="28" customFormat="1" ht="12">
      <c r="A10" s="29" t="s">
        <v>12</v>
      </c>
      <c r="B10" s="29" t="s">
        <v>53</v>
      </c>
    </row>
    <row r="11" spans="1:2" s="2" customFormat="1" ht="15" customHeight="1">
      <c r="A11" s="4" t="s">
        <v>46</v>
      </c>
      <c r="B11" s="40">
        <v>39224443</v>
      </c>
    </row>
    <row r="12" spans="1:2" s="28" customFormat="1" ht="12">
      <c r="A12" s="29" t="s">
        <v>10</v>
      </c>
      <c r="B12" s="33">
        <v>45124</v>
      </c>
    </row>
    <row r="13" spans="1:2" s="28" customFormat="1" ht="15" customHeight="1">
      <c r="A13" s="29" t="s">
        <v>16</v>
      </c>
      <c r="B13" s="34">
        <v>45135</v>
      </c>
    </row>
    <row r="14" spans="1:2" s="28" customFormat="1" ht="15" customHeight="1">
      <c r="A14" s="29" t="s">
        <v>13</v>
      </c>
      <c r="B14" s="34">
        <v>45319</v>
      </c>
    </row>
    <row r="15" spans="1:2" s="28" customFormat="1" ht="12">
      <c r="A15" s="29" t="s">
        <v>14</v>
      </c>
      <c r="B15" s="34"/>
    </row>
    <row r="16" spans="1:2" s="28" customFormat="1" ht="15" customHeight="1">
      <c r="A16" s="29" t="s">
        <v>15</v>
      </c>
      <c r="B16" s="34"/>
    </row>
    <row r="17" spans="1:2" s="27" customFormat="1" ht="12">
      <c r="A17" s="27" t="s">
        <v>35</v>
      </c>
      <c r="B17" s="68">
        <v>9.0500000000000007</v>
      </c>
    </row>
    <row r="18" spans="1:2">
      <c r="A18" s="29" t="s">
        <v>47</v>
      </c>
      <c r="B18" s="32" t="s">
        <v>54</v>
      </c>
    </row>
    <row r="19" spans="1:2">
      <c r="A19" s="29" t="s">
        <v>42</v>
      </c>
      <c r="B19" s="36"/>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113"/>
  <sheetViews>
    <sheetView topLeftCell="A95" workbookViewId="0">
      <selection activeCell="D107" sqref="D107"/>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8" width="9.140625" style="5"/>
    <col min="9" max="9" width="11.5703125" style="5" bestFit="1" customWidth="1"/>
    <col min="10" max="16384" width="9.140625" style="5"/>
  </cols>
  <sheetData>
    <row r="1" spans="1:7">
      <c r="A1" s="7" t="s">
        <v>0</v>
      </c>
      <c r="B1" s="7" t="s">
        <v>1</v>
      </c>
      <c r="C1" s="7" t="s">
        <v>2</v>
      </c>
      <c r="D1" s="7" t="s">
        <v>3</v>
      </c>
      <c r="E1" s="19" t="s">
        <v>4</v>
      </c>
      <c r="F1" s="19" t="s">
        <v>5</v>
      </c>
      <c r="G1" s="21" t="s">
        <v>11</v>
      </c>
    </row>
    <row r="2" spans="1:7" s="49" customFormat="1" ht="123.95" customHeight="1">
      <c r="A2" s="43">
        <v>1</v>
      </c>
      <c r="B2" s="44" t="s">
        <v>55</v>
      </c>
      <c r="C2" s="45" t="s">
        <v>56</v>
      </c>
      <c r="D2" s="46">
        <v>0.96</v>
      </c>
      <c r="E2" s="47">
        <v>17206</v>
      </c>
      <c r="F2" s="48">
        <v>16517.759999999998</v>
      </c>
    </row>
    <row r="3" spans="1:7" s="49" customFormat="1" ht="90" customHeight="1">
      <c r="A3" s="50">
        <v>2</v>
      </c>
      <c r="B3" s="51" t="s">
        <v>57</v>
      </c>
      <c r="C3" s="52" t="s">
        <v>58</v>
      </c>
      <c r="D3" s="53">
        <v>32746</v>
      </c>
      <c r="E3" s="54">
        <v>26</v>
      </c>
      <c r="F3" s="55">
        <v>851396</v>
      </c>
    </row>
    <row r="4" spans="1:7" s="49" customFormat="1" ht="84.75" customHeight="1">
      <c r="A4" s="50">
        <v>3</v>
      </c>
      <c r="B4" s="51" t="s">
        <v>59</v>
      </c>
      <c r="C4" s="52" t="s">
        <v>58</v>
      </c>
      <c r="D4" s="53">
        <v>10291.6</v>
      </c>
      <c r="E4" s="54">
        <v>34</v>
      </c>
      <c r="F4" s="55">
        <v>349914.4</v>
      </c>
    </row>
    <row r="5" spans="1:7" s="49" customFormat="1" ht="75.2" customHeight="1">
      <c r="A5" s="50">
        <v>4</v>
      </c>
      <c r="B5" s="56" t="s">
        <v>60</v>
      </c>
      <c r="C5" s="52" t="s">
        <v>58</v>
      </c>
      <c r="D5" s="53">
        <v>3742.4</v>
      </c>
      <c r="E5" s="54">
        <v>309</v>
      </c>
      <c r="F5" s="55">
        <v>1156401.6000000001</v>
      </c>
    </row>
    <row r="6" spans="1:7" s="49" customFormat="1" ht="112.35" customHeight="1">
      <c r="A6" s="50">
        <v>5</v>
      </c>
      <c r="B6" s="51" t="s">
        <v>61</v>
      </c>
      <c r="C6" s="52" t="s">
        <v>58</v>
      </c>
      <c r="D6" s="53">
        <v>13840</v>
      </c>
      <c r="E6" s="54">
        <v>52</v>
      </c>
      <c r="F6" s="55">
        <v>719680</v>
      </c>
    </row>
    <row r="7" spans="1:7" s="49" customFormat="1" ht="86.45" customHeight="1">
      <c r="A7" s="50">
        <v>6</v>
      </c>
      <c r="B7" s="51" t="s">
        <v>62</v>
      </c>
      <c r="C7" s="52" t="s">
        <v>58</v>
      </c>
      <c r="D7" s="57">
        <v>46780</v>
      </c>
      <c r="E7" s="54">
        <v>19</v>
      </c>
      <c r="F7" s="55">
        <v>888820</v>
      </c>
    </row>
    <row r="8" spans="1:7" s="49" customFormat="1" ht="101.25" customHeight="1">
      <c r="A8" s="50">
        <v>7</v>
      </c>
      <c r="B8" s="51" t="s">
        <v>63</v>
      </c>
      <c r="C8" s="52" t="s">
        <v>58</v>
      </c>
      <c r="D8" s="57">
        <v>3966.02</v>
      </c>
      <c r="E8" s="54">
        <v>54</v>
      </c>
      <c r="F8" s="55">
        <v>214165.08</v>
      </c>
    </row>
    <row r="9" spans="1:7" s="49" customFormat="1" ht="135" customHeight="1">
      <c r="A9" s="50">
        <v>8</v>
      </c>
      <c r="B9" s="56" t="s">
        <v>64</v>
      </c>
      <c r="C9" s="52" t="s">
        <v>65</v>
      </c>
      <c r="D9" s="57">
        <v>2478.6</v>
      </c>
      <c r="E9" s="54">
        <v>848</v>
      </c>
      <c r="F9" s="55">
        <v>2101852.7999999998</v>
      </c>
    </row>
    <row r="10" spans="1:7" s="49" customFormat="1" ht="183.6" customHeight="1">
      <c r="A10" s="50">
        <v>9</v>
      </c>
      <c r="B10" s="56" t="s">
        <v>66</v>
      </c>
      <c r="C10" s="52" t="s">
        <v>65</v>
      </c>
      <c r="D10" s="57">
        <v>2295</v>
      </c>
      <c r="E10" s="54">
        <v>1056</v>
      </c>
      <c r="F10" s="55">
        <v>2423520</v>
      </c>
    </row>
    <row r="11" spans="1:7" s="49" customFormat="1" ht="124.5" customHeight="1">
      <c r="A11" s="50">
        <v>10</v>
      </c>
      <c r="B11" s="56" t="s">
        <v>67</v>
      </c>
      <c r="C11" s="52" t="s">
        <v>68</v>
      </c>
      <c r="D11" s="57">
        <v>15300</v>
      </c>
      <c r="E11" s="54">
        <v>25.26</v>
      </c>
      <c r="F11" s="55">
        <v>386478</v>
      </c>
    </row>
    <row r="12" spans="1:7" s="49" customFormat="1" ht="199.35" customHeight="1">
      <c r="A12" s="58">
        <v>11</v>
      </c>
      <c r="B12" s="51" t="s">
        <v>69</v>
      </c>
      <c r="C12" s="52" t="s">
        <v>68</v>
      </c>
      <c r="D12" s="53">
        <v>15300</v>
      </c>
      <c r="E12" s="54">
        <v>94</v>
      </c>
      <c r="F12" s="55">
        <v>1438200</v>
      </c>
    </row>
    <row r="13" spans="1:7" s="49" customFormat="1" ht="125.1" customHeight="1">
      <c r="A13" s="58">
        <v>12</v>
      </c>
      <c r="B13" s="56" t="s">
        <v>70</v>
      </c>
      <c r="C13" s="52" t="s">
        <v>68</v>
      </c>
      <c r="D13" s="53">
        <v>15300</v>
      </c>
      <c r="E13" s="54">
        <v>31</v>
      </c>
      <c r="F13" s="55">
        <v>474300</v>
      </c>
    </row>
    <row r="14" spans="1:7" s="49" customFormat="1" ht="87" customHeight="1">
      <c r="A14" s="58">
        <v>13</v>
      </c>
      <c r="B14" s="56" t="s">
        <v>71</v>
      </c>
      <c r="C14" s="52" t="s">
        <v>72</v>
      </c>
      <c r="D14" s="53">
        <v>5</v>
      </c>
      <c r="E14" s="54">
        <v>1501</v>
      </c>
      <c r="F14" s="55">
        <v>7505</v>
      </c>
    </row>
    <row r="15" spans="1:7" s="49" customFormat="1" ht="27.2" customHeight="1">
      <c r="A15" s="58">
        <v>14</v>
      </c>
      <c r="B15" s="51" t="s">
        <v>73</v>
      </c>
      <c r="C15" s="52" t="s">
        <v>72</v>
      </c>
      <c r="D15" s="53">
        <v>20</v>
      </c>
      <c r="E15" s="54">
        <v>410</v>
      </c>
      <c r="F15" s="55">
        <v>8200</v>
      </c>
    </row>
    <row r="16" spans="1:7" s="49" customFormat="1" ht="70.7" customHeight="1">
      <c r="A16" s="58">
        <v>15</v>
      </c>
      <c r="B16" s="56" t="s">
        <v>74</v>
      </c>
      <c r="C16" s="52" t="s">
        <v>72</v>
      </c>
      <c r="D16" s="53">
        <v>48</v>
      </c>
      <c r="E16" s="54">
        <v>375</v>
      </c>
      <c r="F16" s="55">
        <v>18000</v>
      </c>
    </row>
    <row r="17" spans="1:6" s="49" customFormat="1" ht="265.35000000000002" customHeight="1">
      <c r="A17" s="58">
        <v>16</v>
      </c>
      <c r="B17" s="56" t="s">
        <v>75</v>
      </c>
      <c r="C17" s="52" t="s">
        <v>72</v>
      </c>
      <c r="D17" s="53">
        <v>8</v>
      </c>
      <c r="E17" s="54">
        <v>3792</v>
      </c>
      <c r="F17" s="55">
        <v>30336</v>
      </c>
    </row>
    <row r="18" spans="1:6" s="49" customFormat="1" ht="264.75" customHeight="1">
      <c r="A18" s="58">
        <v>17</v>
      </c>
      <c r="B18" s="56" t="s">
        <v>76</v>
      </c>
      <c r="C18" s="52" t="s">
        <v>72</v>
      </c>
      <c r="D18" s="53">
        <v>8</v>
      </c>
      <c r="E18" s="54">
        <v>4674</v>
      </c>
      <c r="F18" s="55">
        <v>37392</v>
      </c>
    </row>
    <row r="19" spans="1:6" s="49" customFormat="1" ht="228" customHeight="1">
      <c r="A19" s="58">
        <v>18</v>
      </c>
      <c r="B19" s="59" t="s">
        <v>77</v>
      </c>
      <c r="C19" s="60" t="s">
        <v>72</v>
      </c>
      <c r="D19" s="53">
        <v>8</v>
      </c>
      <c r="E19" s="54">
        <v>7132</v>
      </c>
      <c r="F19" s="55">
        <v>57056</v>
      </c>
    </row>
    <row r="20" spans="1:6" s="49" customFormat="1" ht="124.5" customHeight="1">
      <c r="A20" s="50">
        <v>19</v>
      </c>
      <c r="B20" s="56" t="s">
        <v>78</v>
      </c>
      <c r="C20" s="52" t="s">
        <v>79</v>
      </c>
      <c r="D20" s="53">
        <v>1240</v>
      </c>
      <c r="E20" s="54">
        <v>408</v>
      </c>
      <c r="F20" s="55">
        <v>505920</v>
      </c>
    </row>
    <row r="21" spans="1:6" s="49" customFormat="1" ht="221.1" customHeight="1">
      <c r="A21" s="50">
        <v>20</v>
      </c>
      <c r="B21" s="56" t="s">
        <v>80</v>
      </c>
      <c r="C21" s="51" t="s">
        <v>81</v>
      </c>
      <c r="D21" s="53">
        <v>15</v>
      </c>
      <c r="E21" s="54">
        <v>1768</v>
      </c>
      <c r="F21" s="55">
        <v>26520</v>
      </c>
    </row>
    <row r="22" spans="1:6" s="49" customFormat="1" ht="138.75" customHeight="1">
      <c r="A22" s="50">
        <v>21</v>
      </c>
      <c r="B22" s="56" t="s">
        <v>82</v>
      </c>
      <c r="C22" s="56"/>
      <c r="D22" s="56"/>
      <c r="E22" s="56"/>
      <c r="F22" s="56"/>
    </row>
    <row r="23" spans="1:6" s="49" customFormat="1" ht="27.2" customHeight="1">
      <c r="A23" s="61">
        <v>21.01</v>
      </c>
      <c r="B23" s="51" t="s">
        <v>83</v>
      </c>
      <c r="C23" s="52" t="s">
        <v>58</v>
      </c>
      <c r="D23" s="53">
        <v>681.84</v>
      </c>
      <c r="E23" s="54">
        <v>57</v>
      </c>
      <c r="F23" s="55">
        <v>38864.879999999997</v>
      </c>
    </row>
    <row r="24" spans="1:6" s="49" customFormat="1" ht="27.2" customHeight="1">
      <c r="A24" s="61">
        <v>21.02</v>
      </c>
      <c r="B24" s="51" t="s">
        <v>84</v>
      </c>
      <c r="C24" s="52" t="s">
        <v>58</v>
      </c>
      <c r="D24" s="53">
        <v>450.8</v>
      </c>
      <c r="E24" s="54">
        <v>57</v>
      </c>
      <c r="F24" s="55">
        <v>25695.599999999999</v>
      </c>
    </row>
    <row r="25" spans="1:6" s="49" customFormat="1" ht="27.2" customHeight="1">
      <c r="A25" s="61">
        <v>21.03</v>
      </c>
      <c r="B25" s="51" t="s">
        <v>85</v>
      </c>
      <c r="C25" s="52" t="s">
        <v>58</v>
      </c>
      <c r="D25" s="53">
        <v>617.01599999999996</v>
      </c>
      <c r="E25" s="54">
        <v>57</v>
      </c>
      <c r="F25" s="55">
        <v>35169.910000000003</v>
      </c>
    </row>
    <row r="26" spans="1:6" s="49" customFormat="1" ht="27.2" customHeight="1">
      <c r="A26" s="61">
        <v>21.04</v>
      </c>
      <c r="B26" s="51" t="s">
        <v>86</v>
      </c>
      <c r="C26" s="52" t="s">
        <v>58</v>
      </c>
      <c r="D26" s="53">
        <v>95.84</v>
      </c>
      <c r="E26" s="54">
        <v>57</v>
      </c>
      <c r="F26" s="55">
        <v>5462.88</v>
      </c>
    </row>
    <row r="27" spans="1:6" s="49" customFormat="1" ht="27.2" customHeight="1">
      <c r="A27" s="61">
        <v>21.05</v>
      </c>
      <c r="B27" s="51" t="s">
        <v>87</v>
      </c>
      <c r="C27" s="52" t="s">
        <v>58</v>
      </c>
      <c r="D27" s="53">
        <v>1680</v>
      </c>
      <c r="E27" s="54">
        <v>57</v>
      </c>
      <c r="F27" s="55">
        <v>95760</v>
      </c>
    </row>
    <row r="28" spans="1:6" s="49" customFormat="1" ht="27.2" customHeight="1">
      <c r="A28" s="61">
        <v>21.06</v>
      </c>
      <c r="B28" s="51" t="s">
        <v>88</v>
      </c>
      <c r="C28" s="60" t="s">
        <v>58</v>
      </c>
      <c r="D28" s="53">
        <v>1252.5</v>
      </c>
      <c r="E28" s="54">
        <v>57</v>
      </c>
      <c r="F28" s="55">
        <v>71392.5</v>
      </c>
    </row>
    <row r="29" spans="1:6" s="49" customFormat="1" ht="139.35" customHeight="1">
      <c r="A29" s="50">
        <v>22</v>
      </c>
      <c r="B29" s="56" t="s">
        <v>89</v>
      </c>
      <c r="C29" s="56"/>
      <c r="D29" s="56"/>
      <c r="E29" s="56"/>
      <c r="F29" s="56"/>
    </row>
    <row r="30" spans="1:6" s="49" customFormat="1" ht="27.2" customHeight="1">
      <c r="A30" s="61">
        <v>22.01</v>
      </c>
      <c r="B30" s="51" t="s">
        <v>85</v>
      </c>
      <c r="C30" s="52" t="s">
        <v>58</v>
      </c>
      <c r="D30" s="53">
        <v>666.27</v>
      </c>
      <c r="E30" s="54">
        <v>83</v>
      </c>
      <c r="F30" s="55">
        <v>55300.41</v>
      </c>
    </row>
    <row r="31" spans="1:6" s="49" customFormat="1" ht="128.44999999999999" customHeight="1">
      <c r="A31" s="50">
        <v>23</v>
      </c>
      <c r="B31" s="51" t="s">
        <v>90</v>
      </c>
      <c r="C31" s="56"/>
      <c r="D31" s="56"/>
      <c r="E31" s="56"/>
      <c r="F31" s="56"/>
    </row>
    <row r="32" spans="1:6" s="49" customFormat="1" ht="27.2" customHeight="1">
      <c r="A32" s="61">
        <v>23.01</v>
      </c>
      <c r="B32" s="51" t="s">
        <v>85</v>
      </c>
      <c r="C32" s="52" t="s">
        <v>58</v>
      </c>
      <c r="D32" s="53">
        <v>456.27</v>
      </c>
      <c r="E32" s="54">
        <v>670</v>
      </c>
      <c r="F32" s="55">
        <v>305700.90000000002</v>
      </c>
    </row>
    <row r="33" spans="1:6" s="49" customFormat="1" ht="75.2" customHeight="1">
      <c r="A33" s="50">
        <v>24</v>
      </c>
      <c r="B33" s="51" t="s">
        <v>91</v>
      </c>
      <c r="C33" s="56"/>
      <c r="D33" s="56"/>
      <c r="E33" s="56"/>
      <c r="F33" s="56"/>
    </row>
    <row r="34" spans="1:6" s="49" customFormat="1" ht="27.2" customHeight="1">
      <c r="A34" s="61">
        <v>24.01</v>
      </c>
      <c r="B34" s="51" t="s">
        <v>83</v>
      </c>
      <c r="C34" s="52" t="s">
        <v>58</v>
      </c>
      <c r="D34" s="53">
        <v>46.44</v>
      </c>
      <c r="E34" s="54">
        <v>3038</v>
      </c>
      <c r="F34" s="55">
        <v>141084.72</v>
      </c>
    </row>
    <row r="35" spans="1:6" s="49" customFormat="1" ht="27.2" customHeight="1">
      <c r="A35" s="61">
        <v>24.02</v>
      </c>
      <c r="B35" s="51" t="s">
        <v>84</v>
      </c>
      <c r="C35" s="52" t="s">
        <v>58</v>
      </c>
      <c r="D35" s="53">
        <v>26.8</v>
      </c>
      <c r="E35" s="54">
        <v>3038</v>
      </c>
      <c r="F35" s="55">
        <v>81418.399999999994</v>
      </c>
    </row>
    <row r="36" spans="1:6" s="49" customFormat="1" ht="27.2" customHeight="1">
      <c r="A36" s="61">
        <v>24.03</v>
      </c>
      <c r="B36" s="51" t="s">
        <v>87</v>
      </c>
      <c r="C36" s="52" t="s">
        <v>58</v>
      </c>
      <c r="D36" s="53">
        <v>167.99</v>
      </c>
      <c r="E36" s="54">
        <v>3038</v>
      </c>
      <c r="F36" s="55">
        <v>510353.62</v>
      </c>
    </row>
    <row r="37" spans="1:6" s="49" customFormat="1" ht="27.2" customHeight="1">
      <c r="A37" s="61">
        <v>24.04</v>
      </c>
      <c r="B37" s="51" t="s">
        <v>88</v>
      </c>
      <c r="C37" s="52" t="s">
        <v>58</v>
      </c>
      <c r="D37" s="53">
        <v>80.7</v>
      </c>
      <c r="E37" s="54">
        <v>3038</v>
      </c>
      <c r="F37" s="55">
        <v>245166.6</v>
      </c>
    </row>
    <row r="38" spans="1:6" s="49" customFormat="1" ht="93.6" customHeight="1">
      <c r="A38" s="50">
        <v>25</v>
      </c>
      <c r="B38" s="56" t="s">
        <v>92</v>
      </c>
      <c r="C38" s="56"/>
      <c r="D38" s="56"/>
      <c r="E38" s="56"/>
      <c r="F38" s="56"/>
    </row>
    <row r="39" spans="1:6" s="49" customFormat="1" ht="27.2" customHeight="1">
      <c r="A39" s="61">
        <v>25.01</v>
      </c>
      <c r="B39" s="51" t="s">
        <v>85</v>
      </c>
      <c r="C39" s="52" t="s">
        <v>58</v>
      </c>
      <c r="D39" s="53">
        <v>74.430000000000007</v>
      </c>
      <c r="E39" s="54">
        <v>4017</v>
      </c>
      <c r="F39" s="55">
        <v>298985.31</v>
      </c>
    </row>
    <row r="40" spans="1:6" s="49" customFormat="1" ht="93.6" customHeight="1">
      <c r="A40" s="50">
        <v>26</v>
      </c>
      <c r="B40" s="56" t="s">
        <v>93</v>
      </c>
      <c r="C40" s="56"/>
      <c r="D40" s="56"/>
      <c r="E40" s="56"/>
      <c r="F40" s="56"/>
    </row>
    <row r="41" spans="1:6" s="49" customFormat="1" ht="27.2" customHeight="1">
      <c r="A41" s="61">
        <v>26.01</v>
      </c>
      <c r="B41" s="51" t="s">
        <v>85</v>
      </c>
      <c r="C41" s="60" t="s">
        <v>58</v>
      </c>
      <c r="D41" s="53">
        <v>465.18</v>
      </c>
      <c r="E41" s="54">
        <v>4341</v>
      </c>
      <c r="F41" s="55">
        <v>2019346.38</v>
      </c>
    </row>
    <row r="42" spans="1:6" s="49" customFormat="1" ht="76.349999999999994" customHeight="1">
      <c r="A42" s="50">
        <v>27</v>
      </c>
      <c r="B42" s="56" t="s">
        <v>94</v>
      </c>
      <c r="C42" s="56"/>
      <c r="D42" s="56"/>
      <c r="E42" s="56"/>
      <c r="F42" s="56"/>
    </row>
    <row r="43" spans="1:6" s="49" customFormat="1" ht="27.2" customHeight="1">
      <c r="A43" s="61">
        <v>27.01</v>
      </c>
      <c r="B43" s="51" t="s">
        <v>83</v>
      </c>
      <c r="C43" s="62" t="s">
        <v>58</v>
      </c>
      <c r="D43" s="53">
        <v>409.5</v>
      </c>
      <c r="E43" s="54">
        <v>3666</v>
      </c>
      <c r="F43" s="55">
        <v>1501227</v>
      </c>
    </row>
    <row r="44" spans="1:6" s="49" customFormat="1" ht="27.2" customHeight="1">
      <c r="A44" s="61">
        <v>27.02</v>
      </c>
      <c r="B44" s="51" t="s">
        <v>84</v>
      </c>
      <c r="C44" s="62" t="s">
        <v>58</v>
      </c>
      <c r="D44" s="53">
        <v>225.36</v>
      </c>
      <c r="E44" s="54">
        <v>3666</v>
      </c>
      <c r="F44" s="55">
        <v>826169.76</v>
      </c>
    </row>
    <row r="45" spans="1:6" s="49" customFormat="1" ht="27.2" customHeight="1">
      <c r="A45" s="61">
        <v>27.03</v>
      </c>
      <c r="B45" s="51" t="s">
        <v>86</v>
      </c>
      <c r="C45" s="62" t="s">
        <v>58</v>
      </c>
      <c r="D45" s="53">
        <v>41.481000000000002</v>
      </c>
      <c r="E45" s="54">
        <v>3666</v>
      </c>
      <c r="F45" s="55">
        <v>152069.35</v>
      </c>
    </row>
    <row r="46" spans="1:6" s="49" customFormat="1" ht="27.2" customHeight="1">
      <c r="A46" s="61">
        <v>27.04</v>
      </c>
      <c r="B46" s="51" t="s">
        <v>87</v>
      </c>
      <c r="C46" s="62" t="s">
        <v>58</v>
      </c>
      <c r="D46" s="53">
        <v>1531.25</v>
      </c>
      <c r="E46" s="54">
        <v>3666</v>
      </c>
      <c r="F46" s="55">
        <v>5613562.5</v>
      </c>
    </row>
    <row r="47" spans="1:6" s="49" customFormat="1" ht="27.2" customHeight="1">
      <c r="A47" s="61">
        <v>27.05</v>
      </c>
      <c r="B47" s="51" t="s">
        <v>88</v>
      </c>
      <c r="C47" s="62" t="s">
        <v>58</v>
      </c>
      <c r="D47" s="53">
        <v>629.53</v>
      </c>
      <c r="E47" s="54">
        <v>3666</v>
      </c>
      <c r="F47" s="55">
        <v>2307856.98</v>
      </c>
    </row>
    <row r="48" spans="1:6" s="49" customFormat="1" ht="84" customHeight="1">
      <c r="A48" s="50">
        <v>28</v>
      </c>
      <c r="B48" s="51" t="s">
        <v>95</v>
      </c>
      <c r="C48" s="56"/>
      <c r="D48" s="56"/>
      <c r="E48" s="56"/>
      <c r="F48" s="56"/>
    </row>
    <row r="49" spans="1:6" s="49" customFormat="1" ht="27.2" customHeight="1">
      <c r="A49" s="61">
        <v>28.01</v>
      </c>
      <c r="B49" s="51" t="s">
        <v>83</v>
      </c>
      <c r="C49" s="62" t="s">
        <v>58</v>
      </c>
      <c r="D49" s="53">
        <v>3.42</v>
      </c>
      <c r="E49" s="54">
        <v>3850</v>
      </c>
      <c r="F49" s="55">
        <v>13167</v>
      </c>
    </row>
    <row r="50" spans="1:6" s="49" customFormat="1" ht="27.2" customHeight="1">
      <c r="A50" s="61">
        <v>28.02</v>
      </c>
      <c r="B50" s="51" t="s">
        <v>84</v>
      </c>
      <c r="C50" s="62" t="s">
        <v>58</v>
      </c>
      <c r="D50" s="53">
        <v>1.52</v>
      </c>
      <c r="E50" s="54">
        <v>3850</v>
      </c>
      <c r="F50" s="55">
        <v>5852</v>
      </c>
    </row>
    <row r="51" spans="1:6" s="49" customFormat="1" ht="27.2" customHeight="1">
      <c r="A51" s="61">
        <v>28.03</v>
      </c>
      <c r="B51" s="51" t="s">
        <v>88</v>
      </c>
      <c r="C51" s="62" t="s">
        <v>58</v>
      </c>
      <c r="D51" s="53">
        <v>6.9340000000000002</v>
      </c>
      <c r="E51" s="54">
        <v>3850</v>
      </c>
      <c r="F51" s="55">
        <v>26695.9</v>
      </c>
    </row>
    <row r="52" spans="1:6" s="49" customFormat="1" ht="64.5" customHeight="1">
      <c r="A52" s="50">
        <v>29</v>
      </c>
      <c r="B52" s="51" t="s">
        <v>96</v>
      </c>
      <c r="C52" s="56"/>
      <c r="D52" s="56"/>
      <c r="E52" s="56"/>
      <c r="F52" s="56"/>
    </row>
    <row r="53" spans="1:6" s="49" customFormat="1" ht="27.2" customHeight="1">
      <c r="A53" s="61">
        <v>29.01</v>
      </c>
      <c r="B53" s="51" t="s">
        <v>83</v>
      </c>
      <c r="C53" s="63" t="s">
        <v>97</v>
      </c>
      <c r="D53" s="53">
        <v>135</v>
      </c>
      <c r="E53" s="54">
        <v>4410</v>
      </c>
      <c r="F53" s="55">
        <v>595350</v>
      </c>
    </row>
    <row r="54" spans="1:6" s="49" customFormat="1" ht="27.2" customHeight="1">
      <c r="A54" s="61">
        <v>29.02</v>
      </c>
      <c r="B54" s="51" t="s">
        <v>84</v>
      </c>
      <c r="C54" s="63" t="s">
        <v>97</v>
      </c>
      <c r="D54" s="53">
        <v>120</v>
      </c>
      <c r="E54" s="54">
        <v>4410</v>
      </c>
      <c r="F54" s="55">
        <v>529200</v>
      </c>
    </row>
    <row r="55" spans="1:6" s="49" customFormat="1" ht="27.2" customHeight="1">
      <c r="A55" s="61">
        <v>29.03</v>
      </c>
      <c r="B55" s="51" t="s">
        <v>88</v>
      </c>
      <c r="C55" s="63" t="s">
        <v>97</v>
      </c>
      <c r="D55" s="53">
        <v>75</v>
      </c>
      <c r="E55" s="54">
        <v>4410</v>
      </c>
      <c r="F55" s="55">
        <v>330750</v>
      </c>
    </row>
    <row r="56" spans="1:6" s="49" customFormat="1" ht="74.849999999999994" customHeight="1">
      <c r="A56" s="50">
        <v>30</v>
      </c>
      <c r="B56" s="56" t="s">
        <v>98</v>
      </c>
      <c r="C56" s="56"/>
      <c r="D56" s="56"/>
      <c r="E56" s="56"/>
      <c r="F56" s="56"/>
    </row>
    <row r="57" spans="1:6" s="49" customFormat="1" ht="27.2" customHeight="1">
      <c r="A57" s="61">
        <v>30.01</v>
      </c>
      <c r="B57" s="51" t="s">
        <v>86</v>
      </c>
      <c r="C57" s="63" t="s">
        <v>97</v>
      </c>
      <c r="D57" s="53">
        <v>60</v>
      </c>
      <c r="E57" s="54">
        <v>2243</v>
      </c>
      <c r="F57" s="55">
        <v>134580</v>
      </c>
    </row>
    <row r="58" spans="1:6" s="49" customFormat="1" ht="99.6" customHeight="1">
      <c r="A58" s="50">
        <v>31</v>
      </c>
      <c r="B58" s="51" t="s">
        <v>99</v>
      </c>
      <c r="C58" s="56"/>
      <c r="D58" s="56"/>
      <c r="E58" s="56"/>
      <c r="F58" s="56"/>
    </row>
    <row r="59" spans="1:6" s="49" customFormat="1" ht="27.2" customHeight="1">
      <c r="A59" s="61">
        <v>31.01</v>
      </c>
      <c r="B59" s="51" t="s">
        <v>86</v>
      </c>
      <c r="C59" s="64" t="s">
        <v>58</v>
      </c>
      <c r="D59" s="53">
        <v>2.1</v>
      </c>
      <c r="E59" s="54">
        <v>4528</v>
      </c>
      <c r="F59" s="55">
        <v>9508.7999999999993</v>
      </c>
    </row>
    <row r="60" spans="1:6" s="49" customFormat="1" ht="27.2" customHeight="1">
      <c r="A60" s="61">
        <v>31.02</v>
      </c>
      <c r="B60" s="51" t="s">
        <v>88</v>
      </c>
      <c r="C60" s="65" t="s">
        <v>58</v>
      </c>
      <c r="D60" s="53">
        <v>73.388000000000005</v>
      </c>
      <c r="E60" s="54">
        <v>4528</v>
      </c>
      <c r="F60" s="55">
        <v>332300.86</v>
      </c>
    </row>
    <row r="61" spans="1:6" s="49" customFormat="1" ht="43.7" customHeight="1">
      <c r="A61" s="50">
        <v>32</v>
      </c>
      <c r="B61" s="51" t="s">
        <v>100</v>
      </c>
      <c r="C61" s="56"/>
      <c r="D61" s="56"/>
      <c r="E61" s="56"/>
      <c r="F61" s="56"/>
    </row>
    <row r="62" spans="1:6" s="49" customFormat="1" ht="27.2" customHeight="1">
      <c r="A62" s="61">
        <v>32.01</v>
      </c>
      <c r="B62" s="51" t="s">
        <v>86</v>
      </c>
      <c r="C62" s="65" t="s">
        <v>101</v>
      </c>
      <c r="D62" s="53">
        <v>83.52</v>
      </c>
      <c r="E62" s="54">
        <v>139</v>
      </c>
      <c r="F62" s="55">
        <v>11609.28</v>
      </c>
    </row>
    <row r="63" spans="1:6" s="49" customFormat="1" ht="27.2" customHeight="1">
      <c r="A63" s="61">
        <v>32.020000000000003</v>
      </c>
      <c r="B63" s="51" t="s">
        <v>88</v>
      </c>
      <c r="C63" s="65" t="s">
        <v>101</v>
      </c>
      <c r="D63" s="53">
        <v>161.69</v>
      </c>
      <c r="E63" s="54">
        <v>139</v>
      </c>
      <c r="F63" s="55">
        <v>22474.91</v>
      </c>
    </row>
    <row r="64" spans="1:6" s="49" customFormat="1" ht="98.1" customHeight="1">
      <c r="A64" s="50">
        <v>33</v>
      </c>
      <c r="B64" s="56" t="s">
        <v>102</v>
      </c>
      <c r="C64" s="56"/>
      <c r="D64" s="56"/>
      <c r="E64" s="56"/>
      <c r="F64" s="56"/>
    </row>
    <row r="65" spans="1:6" s="49" customFormat="1" ht="27.2" customHeight="1">
      <c r="A65" s="61">
        <v>33.01</v>
      </c>
      <c r="B65" s="51" t="s">
        <v>85</v>
      </c>
      <c r="C65" s="65" t="s">
        <v>58</v>
      </c>
      <c r="D65" s="53">
        <v>162.79300000000001</v>
      </c>
      <c r="E65" s="54">
        <v>3590</v>
      </c>
      <c r="F65" s="55">
        <v>584426.87</v>
      </c>
    </row>
    <row r="66" spans="1:6" s="49" customFormat="1" ht="84" customHeight="1">
      <c r="A66" s="50">
        <v>34</v>
      </c>
      <c r="B66" s="56" t="s">
        <v>103</v>
      </c>
      <c r="C66" s="56"/>
      <c r="D66" s="56"/>
      <c r="E66" s="56"/>
      <c r="F66" s="56"/>
    </row>
    <row r="67" spans="1:6" s="49" customFormat="1" ht="27.2" customHeight="1">
      <c r="A67" s="61">
        <v>34.01</v>
      </c>
      <c r="B67" s="51" t="s">
        <v>85</v>
      </c>
      <c r="C67" s="65" t="s">
        <v>58</v>
      </c>
      <c r="D67" s="53">
        <v>352.95299999999997</v>
      </c>
      <c r="E67" s="54">
        <v>3915</v>
      </c>
      <c r="F67" s="55">
        <v>1381811</v>
      </c>
    </row>
    <row r="68" spans="1:6" s="49" customFormat="1" ht="75.2" customHeight="1">
      <c r="A68" s="50">
        <v>35</v>
      </c>
      <c r="B68" s="51" t="s">
        <v>104</v>
      </c>
      <c r="C68" s="56"/>
      <c r="D68" s="56"/>
      <c r="E68" s="56"/>
      <c r="F68" s="56"/>
    </row>
    <row r="69" spans="1:6" s="49" customFormat="1" ht="27.2" customHeight="1">
      <c r="A69" s="61">
        <v>35.01</v>
      </c>
      <c r="B69" s="51" t="s">
        <v>87</v>
      </c>
      <c r="C69" s="65" t="s">
        <v>105</v>
      </c>
      <c r="D69" s="53">
        <v>120</v>
      </c>
      <c r="E69" s="54">
        <v>114</v>
      </c>
      <c r="F69" s="55">
        <v>13680</v>
      </c>
    </row>
    <row r="70" spans="1:6" s="49" customFormat="1" ht="27.2" customHeight="1">
      <c r="A70" s="61">
        <v>35.020000000000003</v>
      </c>
      <c r="B70" s="51" t="s">
        <v>85</v>
      </c>
      <c r="C70" s="65" t="s">
        <v>105</v>
      </c>
      <c r="D70" s="53">
        <v>420</v>
      </c>
      <c r="E70" s="54">
        <v>114</v>
      </c>
      <c r="F70" s="55">
        <v>47880</v>
      </c>
    </row>
    <row r="71" spans="1:6" s="49" customFormat="1" ht="50.25" customHeight="1">
      <c r="A71" s="50">
        <v>36</v>
      </c>
      <c r="B71" s="56" t="s">
        <v>106</v>
      </c>
      <c r="C71" s="56"/>
      <c r="D71" s="56"/>
      <c r="E71" s="56"/>
      <c r="F71" s="56"/>
    </row>
    <row r="72" spans="1:6" s="49" customFormat="1" ht="27.2" customHeight="1">
      <c r="A72" s="61">
        <v>36.01</v>
      </c>
      <c r="B72" s="51" t="s">
        <v>85</v>
      </c>
      <c r="C72" s="65" t="s">
        <v>107</v>
      </c>
      <c r="D72" s="53">
        <v>52.508000000000003</v>
      </c>
      <c r="E72" s="54">
        <v>88737</v>
      </c>
      <c r="F72" s="55">
        <v>4659402.4000000004</v>
      </c>
    </row>
    <row r="73" spans="1:6" s="49" customFormat="1" ht="27.2" customHeight="1">
      <c r="A73" s="61">
        <v>36.020000000000003</v>
      </c>
      <c r="B73" s="51" t="s">
        <v>88</v>
      </c>
      <c r="C73" s="65" t="s">
        <v>107</v>
      </c>
      <c r="D73" s="53">
        <v>4.4029999999999996</v>
      </c>
      <c r="E73" s="54">
        <v>88737</v>
      </c>
      <c r="F73" s="55">
        <v>390709.01</v>
      </c>
    </row>
    <row r="74" spans="1:6" s="49" customFormat="1" ht="68.45" customHeight="1">
      <c r="A74" s="50">
        <v>37</v>
      </c>
      <c r="B74" s="56" t="s">
        <v>108</v>
      </c>
      <c r="C74" s="56"/>
      <c r="D74" s="56"/>
      <c r="E74" s="56"/>
      <c r="F74" s="56"/>
    </row>
    <row r="75" spans="1:6" s="49" customFormat="1" ht="27.2" customHeight="1">
      <c r="A75" s="61">
        <v>37.01</v>
      </c>
      <c r="B75" s="51" t="s">
        <v>85</v>
      </c>
      <c r="C75" s="66" t="s">
        <v>107</v>
      </c>
      <c r="D75" s="53">
        <v>43.82</v>
      </c>
      <c r="E75" s="54">
        <v>88567</v>
      </c>
      <c r="F75" s="55">
        <v>3881005.94</v>
      </c>
    </row>
    <row r="76" spans="1:6" s="49" customFormat="1" ht="94.5" customHeight="1">
      <c r="A76" s="50">
        <v>38</v>
      </c>
      <c r="B76" s="51" t="s">
        <v>109</v>
      </c>
      <c r="C76" s="56"/>
      <c r="D76" s="56"/>
      <c r="E76" s="56"/>
      <c r="F76" s="56"/>
    </row>
    <row r="77" spans="1:6" s="49" customFormat="1" ht="27.2" customHeight="1">
      <c r="A77" s="61">
        <v>38.01</v>
      </c>
      <c r="B77" s="51" t="s">
        <v>85</v>
      </c>
      <c r="C77" s="52" t="s">
        <v>58</v>
      </c>
      <c r="D77" s="53">
        <v>211.578</v>
      </c>
      <c r="E77" s="54">
        <v>6307</v>
      </c>
      <c r="F77" s="55">
        <v>1334422.45</v>
      </c>
    </row>
    <row r="78" spans="1:6" s="49" customFormat="1" ht="69" customHeight="1">
      <c r="A78" s="50">
        <v>39</v>
      </c>
      <c r="B78" s="51" t="s">
        <v>110</v>
      </c>
      <c r="C78" s="56"/>
      <c r="D78" s="56"/>
      <c r="E78" s="56"/>
      <c r="F78" s="56"/>
    </row>
    <row r="79" spans="1:6" s="49" customFormat="1" ht="27.2" customHeight="1">
      <c r="A79" s="61">
        <v>39.01</v>
      </c>
      <c r="B79" s="51" t="s">
        <v>85</v>
      </c>
      <c r="C79" s="52" t="s">
        <v>58</v>
      </c>
      <c r="D79" s="53">
        <v>25.5</v>
      </c>
      <c r="E79" s="54">
        <v>7720</v>
      </c>
      <c r="F79" s="55">
        <v>196860</v>
      </c>
    </row>
    <row r="80" spans="1:6" s="49" customFormat="1" ht="58.5" customHeight="1">
      <c r="A80" s="50">
        <v>40</v>
      </c>
      <c r="B80" s="51" t="s">
        <v>111</v>
      </c>
      <c r="C80" s="56"/>
      <c r="D80" s="56"/>
      <c r="E80" s="56"/>
      <c r="F80" s="56"/>
    </row>
    <row r="81" spans="1:6" s="49" customFormat="1" ht="27.2" customHeight="1">
      <c r="A81" s="61">
        <v>40.01</v>
      </c>
      <c r="B81" s="51" t="s">
        <v>85</v>
      </c>
      <c r="C81" s="52" t="s">
        <v>58</v>
      </c>
      <c r="D81" s="53">
        <v>10.53</v>
      </c>
      <c r="E81" s="54">
        <v>2471</v>
      </c>
      <c r="F81" s="55">
        <v>26019.63</v>
      </c>
    </row>
    <row r="82" spans="1:6" s="49" customFormat="1" ht="69.599999999999994" customHeight="1">
      <c r="A82" s="50">
        <v>41</v>
      </c>
      <c r="B82" s="51" t="s">
        <v>112</v>
      </c>
      <c r="C82" s="56"/>
      <c r="D82" s="56"/>
      <c r="E82" s="56"/>
      <c r="F82" s="56"/>
    </row>
    <row r="83" spans="1:6" s="49" customFormat="1" ht="27.2" customHeight="1">
      <c r="A83" s="61">
        <v>41.01</v>
      </c>
      <c r="B83" s="51" t="s">
        <v>85</v>
      </c>
      <c r="C83" s="52" t="s">
        <v>58</v>
      </c>
      <c r="D83" s="53">
        <v>21.06</v>
      </c>
      <c r="E83" s="54">
        <v>7073</v>
      </c>
      <c r="F83" s="55">
        <v>148957.38</v>
      </c>
    </row>
    <row r="84" spans="1:6" s="49" customFormat="1" ht="57" customHeight="1">
      <c r="A84" s="50">
        <v>42</v>
      </c>
      <c r="B84" s="51" t="s">
        <v>113</v>
      </c>
      <c r="C84" s="56"/>
      <c r="D84" s="56"/>
      <c r="E84" s="56"/>
      <c r="F84" s="56"/>
    </row>
    <row r="85" spans="1:6" s="49" customFormat="1" ht="27.2" customHeight="1">
      <c r="A85" s="61">
        <v>42.01</v>
      </c>
      <c r="B85" s="51" t="s">
        <v>85</v>
      </c>
      <c r="C85" s="52" t="s">
        <v>107</v>
      </c>
      <c r="D85" s="53">
        <v>19.931000000000001</v>
      </c>
      <c r="E85" s="54">
        <v>89654</v>
      </c>
      <c r="F85" s="55">
        <v>1786893.87</v>
      </c>
    </row>
    <row r="86" spans="1:6" s="49" customFormat="1" ht="119.1" customHeight="1">
      <c r="A86" s="50">
        <v>43</v>
      </c>
      <c r="B86" s="51" t="s">
        <v>114</v>
      </c>
      <c r="C86" s="56"/>
      <c r="D86" s="56"/>
      <c r="E86" s="56"/>
      <c r="F86" s="56"/>
    </row>
    <row r="87" spans="1:6" s="49" customFormat="1" ht="27.2" customHeight="1">
      <c r="A87" s="61">
        <v>43.01</v>
      </c>
      <c r="B87" s="51" t="s">
        <v>85</v>
      </c>
      <c r="C87" s="52" t="s">
        <v>58</v>
      </c>
      <c r="D87" s="53">
        <v>246.32</v>
      </c>
      <c r="E87" s="54">
        <v>745</v>
      </c>
      <c r="F87" s="55">
        <v>183508.4</v>
      </c>
    </row>
    <row r="88" spans="1:6" s="49" customFormat="1" ht="65.099999999999994" customHeight="1">
      <c r="A88" s="50">
        <v>44</v>
      </c>
      <c r="B88" s="51" t="s">
        <v>115</v>
      </c>
      <c r="C88" s="56"/>
      <c r="D88" s="56"/>
      <c r="E88" s="56"/>
      <c r="F88" s="56"/>
    </row>
    <row r="89" spans="1:6" s="49" customFormat="1" ht="27.2" customHeight="1">
      <c r="A89" s="61">
        <v>44.01</v>
      </c>
      <c r="B89" s="51" t="s">
        <v>85</v>
      </c>
      <c r="C89" s="60" t="s">
        <v>58</v>
      </c>
      <c r="D89" s="53">
        <v>83.16</v>
      </c>
      <c r="E89" s="54">
        <v>560</v>
      </c>
      <c r="F89" s="55">
        <v>46569.599999999999</v>
      </c>
    </row>
    <row r="90" spans="1:6" s="49" customFormat="1" ht="75.75" customHeight="1">
      <c r="A90" s="50">
        <v>45</v>
      </c>
      <c r="B90" s="51" t="s">
        <v>116</v>
      </c>
      <c r="C90" s="56"/>
      <c r="D90" s="56"/>
      <c r="E90" s="56"/>
      <c r="F90" s="56"/>
    </row>
    <row r="91" spans="1:6" s="49" customFormat="1" ht="27.2" customHeight="1">
      <c r="A91" s="61">
        <v>45.01</v>
      </c>
      <c r="B91" s="51" t="s">
        <v>85</v>
      </c>
      <c r="C91" s="67" t="s">
        <v>117</v>
      </c>
      <c r="D91" s="53">
        <v>25.5</v>
      </c>
      <c r="E91" s="54">
        <v>3673</v>
      </c>
      <c r="F91" s="55">
        <v>93661.5</v>
      </c>
    </row>
    <row r="92" spans="1:6" s="49" customFormat="1" ht="56.45" customHeight="1">
      <c r="A92" s="50">
        <v>46</v>
      </c>
      <c r="B92" s="51" t="s">
        <v>118</v>
      </c>
      <c r="C92" s="56"/>
      <c r="D92" s="56"/>
      <c r="E92" s="56"/>
      <c r="F92" s="56"/>
    </row>
    <row r="93" spans="1:6" s="49" customFormat="1" ht="27.2" customHeight="1">
      <c r="A93" s="61">
        <v>46.01</v>
      </c>
      <c r="B93" s="51" t="s">
        <v>85</v>
      </c>
      <c r="C93" s="65" t="s">
        <v>119</v>
      </c>
      <c r="D93" s="53">
        <v>2</v>
      </c>
      <c r="E93" s="54">
        <v>1383</v>
      </c>
      <c r="F93" s="55">
        <v>2766</v>
      </c>
    </row>
    <row r="94" spans="1:6" s="49" customFormat="1" ht="228.6" customHeight="1">
      <c r="A94" s="50">
        <v>47</v>
      </c>
      <c r="B94" s="51" t="s">
        <v>120</v>
      </c>
      <c r="C94" s="56"/>
      <c r="D94" s="56"/>
      <c r="E94" s="56"/>
      <c r="F94" s="56"/>
    </row>
    <row r="95" spans="1:6" s="49" customFormat="1" ht="27.2" customHeight="1">
      <c r="A95" s="61">
        <v>47.01</v>
      </c>
      <c r="B95" s="51" t="s">
        <v>85</v>
      </c>
      <c r="C95" s="65" t="s">
        <v>58</v>
      </c>
      <c r="D95" s="53">
        <v>34.424999999999997</v>
      </c>
      <c r="E95" s="54">
        <v>4747</v>
      </c>
      <c r="F95" s="55">
        <v>163415.48000000001</v>
      </c>
    </row>
    <row r="96" spans="1:6" s="49" customFormat="1" ht="67.5" customHeight="1">
      <c r="A96" s="50">
        <v>48</v>
      </c>
      <c r="B96" s="51" t="s">
        <v>121</v>
      </c>
      <c r="C96" s="56"/>
      <c r="D96" s="56"/>
      <c r="E96" s="56"/>
      <c r="F96" s="56"/>
    </row>
    <row r="97" spans="1:7" s="49" customFormat="1" ht="27.2" customHeight="1">
      <c r="A97" s="61">
        <v>48.01</v>
      </c>
      <c r="B97" s="51" t="s">
        <v>88</v>
      </c>
      <c r="C97" s="65" t="s">
        <v>65</v>
      </c>
      <c r="D97" s="53">
        <v>139.32</v>
      </c>
      <c r="E97" s="54">
        <v>942</v>
      </c>
      <c r="F97" s="55">
        <v>131239.44</v>
      </c>
    </row>
    <row r="98" spans="1:7" ht="12.75" thickBot="1">
      <c r="B98" s="6" t="s">
        <v>37</v>
      </c>
      <c r="F98" s="5">
        <f>SUM(F1:F97)</f>
        <v>43127480.060000002</v>
      </c>
      <c r="G98" s="6"/>
    </row>
    <row r="99" spans="1:7" ht="12.75" thickBot="1">
      <c r="B99" s="6" t="s">
        <v>38</v>
      </c>
      <c r="C99" s="26" t="s">
        <v>36</v>
      </c>
      <c r="D99" s="69">
        <f>Title!B17</f>
        <v>9.0500000000000007</v>
      </c>
      <c r="E99" s="39" t="str">
        <f>Title!B18</f>
        <v>Below</v>
      </c>
      <c r="F99" s="5">
        <f>IF(E99 &gt; 0,  IF(E99 = "above", ROUND(F98 * D99 / 100, 0), IF(E99 = "below", -ROUND(F98 * D99 / 100, 0), IF(E99 = 0, 0, 0))))</f>
        <v>-3903037</v>
      </c>
      <c r="G99" s="6"/>
    </row>
    <row r="100" spans="1:7" ht="12.75" thickBot="1">
      <c r="B100" s="24" t="s">
        <v>39</v>
      </c>
      <c r="C100" s="25"/>
      <c r="D100" s="25"/>
      <c r="E100" s="25"/>
      <c r="F100" s="20">
        <f>F98+F99</f>
        <v>39224443.060000002</v>
      </c>
      <c r="G100" s="6"/>
    </row>
    <row r="101" spans="1:7">
      <c r="G101" s="6"/>
    </row>
    <row r="102" spans="1:7">
      <c r="G102" s="6"/>
    </row>
    <row r="103" spans="1:7">
      <c r="G103" s="6"/>
    </row>
    <row r="104" spans="1:7">
      <c r="G104" s="6"/>
    </row>
    <row r="105" spans="1:7">
      <c r="G105" s="6"/>
    </row>
    <row r="106" spans="1:7">
      <c r="G106" s="6"/>
    </row>
    <row r="107" spans="1:7">
      <c r="G107" s="6"/>
    </row>
    <row r="108" spans="1:7">
      <c r="G108" s="6"/>
    </row>
    <row r="109" spans="1:7">
      <c r="G109" s="6"/>
    </row>
    <row r="110" spans="1:7">
      <c r="G110" s="6"/>
    </row>
    <row r="111" spans="1:7">
      <c r="G111" s="6"/>
    </row>
    <row r="112" spans="1:7">
      <c r="G112" s="6"/>
    </row>
    <row r="113" spans="7:7">
      <c r="G113" s="6"/>
    </row>
  </sheetData>
  <pageMargins left="0.70866141732283505" right="0.70866141732283505" top="0.74803149606299202" bottom="0.74803149606299202" header="0.31496062992126" footer="0.31496062992126"/>
  <pageSetup paperSize="9" scale="69" fitToHeight="3" orientation="portrait" r:id="rId1"/>
  <headerFooter>
    <oddFooter>&amp;CAgrement No.-54&amp;R&amp;P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3"/>
  <sheetViews>
    <sheetView tabSelected="1" topLeftCell="A96" workbookViewId="0">
      <selection activeCell="D107" sqref="D107"/>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8" width="9.140625" style="5"/>
    <col min="9" max="9" width="11.5703125" style="5" bestFit="1" customWidth="1"/>
    <col min="10" max="16384" width="9.140625" style="5"/>
  </cols>
  <sheetData>
    <row r="1" spans="1:7">
      <c r="A1" s="7" t="s">
        <v>0</v>
      </c>
      <c r="B1" s="7" t="s">
        <v>1</v>
      </c>
      <c r="C1" s="7" t="s">
        <v>2</v>
      </c>
      <c r="D1" s="7" t="s">
        <v>3</v>
      </c>
      <c r="E1" s="19" t="s">
        <v>4</v>
      </c>
      <c r="F1" s="19" t="s">
        <v>5</v>
      </c>
      <c r="G1" s="21" t="s">
        <v>11</v>
      </c>
    </row>
    <row r="2" spans="1:7" s="49" customFormat="1" ht="123.95" customHeight="1">
      <c r="A2" s="43">
        <v>1</v>
      </c>
      <c r="B2" s="44" t="s">
        <v>55</v>
      </c>
      <c r="C2" s="45" t="s">
        <v>56</v>
      </c>
      <c r="D2" s="46">
        <v>0.96</v>
      </c>
      <c r="E2" s="47">
        <v>17206</v>
      </c>
      <c r="F2" s="48">
        <f>IF(D2,D2*E2," ")</f>
        <v>16517.759999999998</v>
      </c>
    </row>
    <row r="3" spans="1:7" s="49" customFormat="1" ht="90" customHeight="1">
      <c r="A3" s="50">
        <v>2</v>
      </c>
      <c r="B3" s="51" t="s">
        <v>57</v>
      </c>
      <c r="C3" s="52" t="s">
        <v>58</v>
      </c>
      <c r="D3" s="53">
        <v>47317.97</v>
      </c>
      <c r="E3" s="54">
        <v>26</v>
      </c>
      <c r="F3" s="48">
        <f t="shared" ref="F3:F66" si="0">IF(D3,D3*E3," ")</f>
        <v>1230267.22</v>
      </c>
    </row>
    <row r="4" spans="1:7" s="49" customFormat="1" ht="84.75" customHeight="1">
      <c r="A4" s="50">
        <v>3</v>
      </c>
      <c r="B4" s="51" t="s">
        <v>59</v>
      </c>
      <c r="C4" s="52" t="s">
        <v>58</v>
      </c>
      <c r="D4" s="53">
        <v>15072.05</v>
      </c>
      <c r="E4" s="54">
        <v>34</v>
      </c>
      <c r="F4" s="48">
        <f t="shared" si="0"/>
        <v>512449.69999999995</v>
      </c>
    </row>
    <row r="5" spans="1:7" s="49" customFormat="1" ht="75.2" customHeight="1">
      <c r="A5" s="50">
        <v>4</v>
      </c>
      <c r="B5" s="56" t="s">
        <v>60</v>
      </c>
      <c r="C5" s="52" t="s">
        <v>58</v>
      </c>
      <c r="D5" s="53">
        <v>5579.92</v>
      </c>
      <c r="E5" s="54">
        <v>309</v>
      </c>
      <c r="F5" s="48">
        <f t="shared" si="0"/>
        <v>1724195.28</v>
      </c>
    </row>
    <row r="6" spans="1:7" s="49" customFormat="1" ht="112.35" customHeight="1">
      <c r="A6" s="50">
        <v>5</v>
      </c>
      <c r="B6" s="51" t="s">
        <v>61</v>
      </c>
      <c r="C6" s="52" t="s">
        <v>58</v>
      </c>
      <c r="D6" s="53">
        <v>19798.12</v>
      </c>
      <c r="E6" s="54">
        <v>52</v>
      </c>
      <c r="F6" s="48">
        <f t="shared" si="0"/>
        <v>1029502.24</v>
      </c>
    </row>
    <row r="7" spans="1:7" s="49" customFormat="1" ht="86.45" customHeight="1">
      <c r="A7" s="50">
        <v>6</v>
      </c>
      <c r="B7" s="51" t="s">
        <v>62</v>
      </c>
      <c r="C7" s="52" t="s">
        <v>58</v>
      </c>
      <c r="D7" s="57">
        <v>68906.94</v>
      </c>
      <c r="E7" s="54">
        <v>19</v>
      </c>
      <c r="F7" s="48">
        <f t="shared" si="0"/>
        <v>1309231.8600000001</v>
      </c>
    </row>
    <row r="8" spans="1:7" s="49" customFormat="1" ht="101.25" customHeight="1">
      <c r="A8" s="50">
        <v>7</v>
      </c>
      <c r="B8" s="51" t="s">
        <v>63</v>
      </c>
      <c r="C8" s="52" t="s">
        <v>58</v>
      </c>
      <c r="D8" s="57">
        <v>3966.02</v>
      </c>
      <c r="E8" s="54">
        <v>54</v>
      </c>
      <c r="F8" s="48">
        <f t="shared" si="0"/>
        <v>214165.08</v>
      </c>
    </row>
    <row r="9" spans="1:7" s="49" customFormat="1" ht="135" customHeight="1">
      <c r="A9" s="50">
        <v>8</v>
      </c>
      <c r="B9" s="56" t="s">
        <v>64</v>
      </c>
      <c r="C9" s="52" t="s">
        <v>65</v>
      </c>
      <c r="D9" s="57">
        <v>2478.6</v>
      </c>
      <c r="E9" s="54">
        <v>848</v>
      </c>
      <c r="F9" s="48">
        <f t="shared" si="0"/>
        <v>2101852.7999999998</v>
      </c>
    </row>
    <row r="10" spans="1:7" s="49" customFormat="1" ht="183.6" customHeight="1">
      <c r="A10" s="50">
        <v>9</v>
      </c>
      <c r="B10" s="56" t="s">
        <v>66</v>
      </c>
      <c r="C10" s="52" t="s">
        <v>65</v>
      </c>
      <c r="D10" s="57">
        <v>2295</v>
      </c>
      <c r="E10" s="54">
        <v>1056</v>
      </c>
      <c r="F10" s="48">
        <f t="shared" si="0"/>
        <v>2423520</v>
      </c>
    </row>
    <row r="11" spans="1:7" s="49" customFormat="1" ht="124.5" customHeight="1">
      <c r="A11" s="50">
        <v>10</v>
      </c>
      <c r="B11" s="56" t="s">
        <v>67</v>
      </c>
      <c r="C11" s="52" t="s">
        <v>68</v>
      </c>
      <c r="D11" s="57">
        <v>15300</v>
      </c>
      <c r="E11" s="54">
        <v>25.26</v>
      </c>
      <c r="F11" s="48">
        <f t="shared" si="0"/>
        <v>386478</v>
      </c>
    </row>
    <row r="12" spans="1:7" s="49" customFormat="1" ht="199.35" customHeight="1">
      <c r="A12" s="58">
        <v>11</v>
      </c>
      <c r="B12" s="51" t="s">
        <v>69</v>
      </c>
      <c r="C12" s="52" t="s">
        <v>68</v>
      </c>
      <c r="D12" s="53">
        <v>15300</v>
      </c>
      <c r="E12" s="54">
        <v>94</v>
      </c>
      <c r="F12" s="48">
        <f t="shared" si="0"/>
        <v>1438200</v>
      </c>
    </row>
    <row r="13" spans="1:7" s="49" customFormat="1" ht="125.1" customHeight="1">
      <c r="A13" s="58">
        <v>12</v>
      </c>
      <c r="B13" s="56" t="s">
        <v>70</v>
      </c>
      <c r="C13" s="52" t="s">
        <v>68</v>
      </c>
      <c r="D13" s="53">
        <v>15300</v>
      </c>
      <c r="E13" s="54">
        <v>31</v>
      </c>
      <c r="F13" s="48">
        <f t="shared" si="0"/>
        <v>474300</v>
      </c>
    </row>
    <row r="14" spans="1:7" s="49" customFormat="1" ht="87" customHeight="1">
      <c r="A14" s="58">
        <v>13</v>
      </c>
      <c r="B14" s="56" t="s">
        <v>71</v>
      </c>
      <c r="C14" s="52" t="s">
        <v>72</v>
      </c>
      <c r="D14" s="53">
        <v>5</v>
      </c>
      <c r="E14" s="54">
        <v>1501</v>
      </c>
      <c r="F14" s="48">
        <f t="shared" si="0"/>
        <v>7505</v>
      </c>
    </row>
    <row r="15" spans="1:7" s="49" customFormat="1" ht="27.2" customHeight="1">
      <c r="A15" s="58">
        <v>14</v>
      </c>
      <c r="B15" s="51" t="s">
        <v>73</v>
      </c>
      <c r="C15" s="52" t="s">
        <v>72</v>
      </c>
      <c r="D15" s="53">
        <v>20</v>
      </c>
      <c r="E15" s="54">
        <v>410</v>
      </c>
      <c r="F15" s="48">
        <f t="shared" si="0"/>
        <v>8200</v>
      </c>
    </row>
    <row r="16" spans="1:7" s="49" customFormat="1" ht="70.7" customHeight="1">
      <c r="A16" s="58">
        <v>15</v>
      </c>
      <c r="B16" s="56" t="s">
        <v>74</v>
      </c>
      <c r="C16" s="52" t="s">
        <v>72</v>
      </c>
      <c r="D16" s="53">
        <v>48</v>
      </c>
      <c r="E16" s="54">
        <v>375</v>
      </c>
      <c r="F16" s="48">
        <f t="shared" si="0"/>
        <v>18000</v>
      </c>
    </row>
    <row r="17" spans="1:6" s="49" customFormat="1" ht="265.35000000000002" customHeight="1">
      <c r="A17" s="58">
        <v>16</v>
      </c>
      <c r="B17" s="56" t="s">
        <v>75</v>
      </c>
      <c r="C17" s="52" t="s">
        <v>72</v>
      </c>
      <c r="D17" s="53">
        <v>8</v>
      </c>
      <c r="E17" s="54">
        <v>3792</v>
      </c>
      <c r="F17" s="48">
        <f t="shared" si="0"/>
        <v>30336</v>
      </c>
    </row>
    <row r="18" spans="1:6" s="49" customFormat="1" ht="264.75" customHeight="1">
      <c r="A18" s="58">
        <v>17</v>
      </c>
      <c r="B18" s="56" t="s">
        <v>76</v>
      </c>
      <c r="C18" s="52" t="s">
        <v>72</v>
      </c>
      <c r="D18" s="53">
        <v>8</v>
      </c>
      <c r="E18" s="54">
        <v>4674</v>
      </c>
      <c r="F18" s="48">
        <f t="shared" si="0"/>
        <v>37392</v>
      </c>
    </row>
    <row r="19" spans="1:6" s="49" customFormat="1" ht="228" customHeight="1">
      <c r="A19" s="58">
        <v>18</v>
      </c>
      <c r="B19" s="59" t="s">
        <v>77</v>
      </c>
      <c r="C19" s="60" t="s">
        <v>72</v>
      </c>
      <c r="D19" s="53">
        <v>8</v>
      </c>
      <c r="E19" s="54">
        <v>7132</v>
      </c>
      <c r="F19" s="48">
        <f t="shared" si="0"/>
        <v>57056</v>
      </c>
    </row>
    <row r="20" spans="1:6" s="49" customFormat="1" ht="124.5" customHeight="1">
      <c r="A20" s="50">
        <v>19</v>
      </c>
      <c r="B20" s="56" t="s">
        <v>78</v>
      </c>
      <c r="C20" s="52" t="s">
        <v>79</v>
      </c>
      <c r="D20" s="53">
        <v>1240</v>
      </c>
      <c r="E20" s="54">
        <v>408</v>
      </c>
      <c r="F20" s="48">
        <f t="shared" si="0"/>
        <v>505920</v>
      </c>
    </row>
    <row r="21" spans="1:6" s="49" customFormat="1" ht="221.1" customHeight="1">
      <c r="A21" s="50">
        <v>20</v>
      </c>
      <c r="B21" s="56" t="s">
        <v>80</v>
      </c>
      <c r="C21" s="51" t="s">
        <v>81</v>
      </c>
      <c r="D21" s="53">
        <v>15</v>
      </c>
      <c r="E21" s="54">
        <v>1768</v>
      </c>
      <c r="F21" s="48">
        <f t="shared" si="0"/>
        <v>26520</v>
      </c>
    </row>
    <row r="22" spans="1:6" s="49" customFormat="1" ht="138.75" customHeight="1">
      <c r="A22" s="50">
        <v>21</v>
      </c>
      <c r="B22" s="56" t="s">
        <v>82</v>
      </c>
      <c r="C22" s="56"/>
      <c r="D22" s="56"/>
      <c r="E22" s="56"/>
      <c r="F22" s="48" t="str">
        <f t="shared" si="0"/>
        <v xml:space="preserve"> </v>
      </c>
    </row>
    <row r="23" spans="1:6" s="49" customFormat="1" ht="27.2" customHeight="1">
      <c r="A23" s="61">
        <v>21.01</v>
      </c>
      <c r="B23" s="51" t="s">
        <v>83</v>
      </c>
      <c r="C23" s="52" t="s">
        <v>58</v>
      </c>
      <c r="D23" s="53">
        <v>681.84</v>
      </c>
      <c r="E23" s="54">
        <v>57</v>
      </c>
      <c r="F23" s="48">
        <f t="shared" si="0"/>
        <v>38864.880000000005</v>
      </c>
    </row>
    <row r="24" spans="1:6" s="49" customFormat="1" ht="27.2" customHeight="1">
      <c r="A24" s="61">
        <v>21.02</v>
      </c>
      <c r="B24" s="51" t="s">
        <v>84</v>
      </c>
      <c r="C24" s="52" t="s">
        <v>58</v>
      </c>
      <c r="D24" s="53">
        <v>450.8</v>
      </c>
      <c r="E24" s="54">
        <v>57</v>
      </c>
      <c r="F24" s="48">
        <f t="shared" si="0"/>
        <v>25695.600000000002</v>
      </c>
    </row>
    <row r="25" spans="1:6" s="49" customFormat="1" ht="27.2" customHeight="1">
      <c r="A25" s="61">
        <v>21.03</v>
      </c>
      <c r="B25" s="51" t="s">
        <v>85</v>
      </c>
      <c r="C25" s="52" t="s">
        <v>58</v>
      </c>
      <c r="D25" s="53">
        <v>618.58000000000004</v>
      </c>
      <c r="E25" s="54">
        <v>57</v>
      </c>
      <c r="F25" s="48">
        <f t="shared" si="0"/>
        <v>35259.060000000005</v>
      </c>
    </row>
    <row r="26" spans="1:6" s="49" customFormat="1" ht="27.2" customHeight="1">
      <c r="A26" s="61">
        <v>21.04</v>
      </c>
      <c r="B26" s="51" t="s">
        <v>86</v>
      </c>
      <c r="C26" s="52" t="s">
        <v>58</v>
      </c>
      <c r="D26" s="53">
        <v>95.84</v>
      </c>
      <c r="E26" s="54">
        <v>57</v>
      </c>
      <c r="F26" s="48">
        <f t="shared" si="0"/>
        <v>5462.88</v>
      </c>
    </row>
    <row r="27" spans="1:6" s="49" customFormat="1" ht="27.2" customHeight="1">
      <c r="A27" s="61">
        <v>21.05</v>
      </c>
      <c r="B27" s="51" t="s">
        <v>87</v>
      </c>
      <c r="C27" s="52" t="s">
        <v>58</v>
      </c>
      <c r="D27" s="53">
        <v>1680</v>
      </c>
      <c r="E27" s="54">
        <v>57</v>
      </c>
      <c r="F27" s="48">
        <f t="shared" si="0"/>
        <v>95760</v>
      </c>
    </row>
    <row r="28" spans="1:6" s="49" customFormat="1" ht="27.2" customHeight="1">
      <c r="A28" s="61">
        <v>21.06</v>
      </c>
      <c r="B28" s="51" t="s">
        <v>88</v>
      </c>
      <c r="C28" s="60" t="s">
        <v>58</v>
      </c>
      <c r="D28" s="53">
        <v>1252.5</v>
      </c>
      <c r="E28" s="54">
        <v>57</v>
      </c>
      <c r="F28" s="48">
        <f t="shared" si="0"/>
        <v>71392.5</v>
      </c>
    </row>
    <row r="29" spans="1:6" s="49" customFormat="1" ht="139.35" customHeight="1">
      <c r="A29" s="50">
        <v>22</v>
      </c>
      <c r="B29" s="56" t="s">
        <v>89</v>
      </c>
      <c r="C29" s="56"/>
      <c r="D29" s="56"/>
      <c r="E29" s="56"/>
      <c r="F29" s="48" t="str">
        <f t="shared" si="0"/>
        <v xml:space="preserve"> </v>
      </c>
    </row>
    <row r="30" spans="1:6" s="49" customFormat="1" ht="27.2" customHeight="1">
      <c r="A30" s="61">
        <v>22.01</v>
      </c>
      <c r="B30" s="51" t="s">
        <v>85</v>
      </c>
      <c r="C30" s="52" t="s">
        <v>58</v>
      </c>
      <c r="D30" s="53">
        <v>990.08</v>
      </c>
      <c r="E30" s="54">
        <v>83</v>
      </c>
      <c r="F30" s="48">
        <f t="shared" si="0"/>
        <v>82176.639999999999</v>
      </c>
    </row>
    <row r="31" spans="1:6" s="49" customFormat="1" ht="128.44999999999999" customHeight="1">
      <c r="A31" s="50">
        <v>23</v>
      </c>
      <c r="B31" s="51" t="s">
        <v>90</v>
      </c>
      <c r="C31" s="56"/>
      <c r="D31" s="56"/>
      <c r="E31" s="56"/>
      <c r="F31" s="48" t="str">
        <f t="shared" si="0"/>
        <v xml:space="preserve"> </v>
      </c>
    </row>
    <row r="32" spans="1:6" s="49" customFormat="1" ht="27.2" customHeight="1">
      <c r="A32" s="61">
        <v>23.01</v>
      </c>
      <c r="B32" s="51" t="s">
        <v>85</v>
      </c>
      <c r="C32" s="52" t="s">
        <v>58</v>
      </c>
      <c r="D32" s="53">
        <v>1088.31</v>
      </c>
      <c r="E32" s="54">
        <v>670</v>
      </c>
      <c r="F32" s="48">
        <f t="shared" si="0"/>
        <v>729167.7</v>
      </c>
    </row>
    <row r="33" spans="1:6" s="49" customFormat="1" ht="75.2" customHeight="1">
      <c r="A33" s="50">
        <v>24</v>
      </c>
      <c r="B33" s="51" t="s">
        <v>91</v>
      </c>
      <c r="C33" s="56"/>
      <c r="D33" s="56"/>
      <c r="E33" s="56"/>
      <c r="F33" s="48" t="str">
        <f t="shared" si="0"/>
        <v xml:space="preserve"> </v>
      </c>
    </row>
    <row r="34" spans="1:6" s="49" customFormat="1" ht="27.2" customHeight="1">
      <c r="A34" s="61">
        <v>24.01</v>
      </c>
      <c r="B34" s="51" t="s">
        <v>83</v>
      </c>
      <c r="C34" s="52" t="s">
        <v>58</v>
      </c>
      <c r="D34" s="53">
        <v>46.44</v>
      </c>
      <c r="E34" s="54">
        <v>3038</v>
      </c>
      <c r="F34" s="48">
        <f t="shared" si="0"/>
        <v>141084.72</v>
      </c>
    </row>
    <row r="35" spans="1:6" s="49" customFormat="1" ht="27.2" customHeight="1">
      <c r="A35" s="61">
        <v>24.02</v>
      </c>
      <c r="B35" s="51" t="s">
        <v>84</v>
      </c>
      <c r="C35" s="52" t="s">
        <v>58</v>
      </c>
      <c r="D35" s="53">
        <v>26.8</v>
      </c>
      <c r="E35" s="54">
        <v>3038</v>
      </c>
      <c r="F35" s="48">
        <f t="shared" si="0"/>
        <v>81418.400000000009</v>
      </c>
    </row>
    <row r="36" spans="1:6" s="49" customFormat="1" ht="27.2" customHeight="1">
      <c r="A36" s="61">
        <v>24.03</v>
      </c>
      <c r="B36" s="51" t="s">
        <v>87</v>
      </c>
      <c r="C36" s="52" t="s">
        <v>58</v>
      </c>
      <c r="D36" s="53">
        <v>167.99</v>
      </c>
      <c r="E36" s="54">
        <v>3038</v>
      </c>
      <c r="F36" s="48">
        <f t="shared" si="0"/>
        <v>510353.62000000005</v>
      </c>
    </row>
    <row r="37" spans="1:6" s="49" customFormat="1" ht="27.2" customHeight="1">
      <c r="A37" s="61">
        <v>24.04</v>
      </c>
      <c r="B37" s="51" t="s">
        <v>88</v>
      </c>
      <c r="C37" s="52" t="s">
        <v>58</v>
      </c>
      <c r="D37" s="53">
        <v>80.7</v>
      </c>
      <c r="E37" s="54">
        <v>3038</v>
      </c>
      <c r="F37" s="48">
        <f t="shared" si="0"/>
        <v>245166.6</v>
      </c>
    </row>
    <row r="38" spans="1:6" s="49" customFormat="1" ht="93.6" customHeight="1">
      <c r="A38" s="50">
        <v>25</v>
      </c>
      <c r="B38" s="56" t="s">
        <v>92</v>
      </c>
      <c r="C38" s="56"/>
      <c r="D38" s="56"/>
      <c r="E38" s="56"/>
      <c r="F38" s="48" t="str">
        <f t="shared" si="0"/>
        <v xml:space="preserve"> </v>
      </c>
    </row>
    <row r="39" spans="1:6" s="49" customFormat="1" ht="27.2" customHeight="1">
      <c r="A39" s="61">
        <v>25.01</v>
      </c>
      <c r="B39" s="51" t="s">
        <v>85</v>
      </c>
      <c r="C39" s="52" t="s">
        <v>58</v>
      </c>
      <c r="D39" s="53">
        <v>114.44</v>
      </c>
      <c r="E39" s="54">
        <v>4017</v>
      </c>
      <c r="F39" s="48">
        <f t="shared" si="0"/>
        <v>459705.48</v>
      </c>
    </row>
    <row r="40" spans="1:6" s="49" customFormat="1" ht="93.6" customHeight="1">
      <c r="A40" s="50">
        <v>26</v>
      </c>
      <c r="B40" s="56" t="s">
        <v>93</v>
      </c>
      <c r="C40" s="56"/>
      <c r="D40" s="56"/>
      <c r="E40" s="56"/>
      <c r="F40" s="48" t="str">
        <f t="shared" si="0"/>
        <v xml:space="preserve"> </v>
      </c>
    </row>
    <row r="41" spans="1:6" s="49" customFormat="1" ht="27.2" customHeight="1">
      <c r="A41" s="61">
        <v>26.01</v>
      </c>
      <c r="B41" s="51" t="s">
        <v>85</v>
      </c>
      <c r="C41" s="60" t="s">
        <v>58</v>
      </c>
      <c r="D41" s="53">
        <v>961.61</v>
      </c>
      <c r="E41" s="54">
        <v>4341</v>
      </c>
      <c r="F41" s="48">
        <f t="shared" si="0"/>
        <v>4174349.0100000002</v>
      </c>
    </row>
    <row r="42" spans="1:6" s="49" customFormat="1" ht="76.349999999999994" customHeight="1">
      <c r="A42" s="50">
        <v>27</v>
      </c>
      <c r="B42" s="56" t="s">
        <v>94</v>
      </c>
      <c r="C42" s="56"/>
      <c r="D42" s="56"/>
      <c r="E42" s="56"/>
      <c r="F42" s="48" t="str">
        <f t="shared" si="0"/>
        <v xml:space="preserve"> </v>
      </c>
    </row>
    <row r="43" spans="1:6" s="49" customFormat="1" ht="27.2" customHeight="1">
      <c r="A43" s="61">
        <v>27.01</v>
      </c>
      <c r="B43" s="51" t="s">
        <v>83</v>
      </c>
      <c r="C43" s="62" t="s">
        <v>58</v>
      </c>
      <c r="D43" s="53">
        <v>409.5</v>
      </c>
      <c r="E43" s="54">
        <v>3666</v>
      </c>
      <c r="F43" s="48">
        <f t="shared" si="0"/>
        <v>1501227</v>
      </c>
    </row>
    <row r="44" spans="1:6" s="49" customFormat="1" ht="27.2" customHeight="1">
      <c r="A44" s="61">
        <v>27.02</v>
      </c>
      <c r="B44" s="51" t="s">
        <v>84</v>
      </c>
      <c r="C44" s="62" t="s">
        <v>58</v>
      </c>
      <c r="D44" s="53">
        <v>225.36</v>
      </c>
      <c r="E44" s="54">
        <v>3666</v>
      </c>
      <c r="F44" s="48">
        <f t="shared" si="0"/>
        <v>826169.76</v>
      </c>
    </row>
    <row r="45" spans="1:6" s="49" customFormat="1" ht="27.2" customHeight="1">
      <c r="A45" s="61">
        <v>27.03</v>
      </c>
      <c r="B45" s="51" t="s">
        <v>86</v>
      </c>
      <c r="C45" s="62" t="s">
        <v>58</v>
      </c>
      <c r="D45" s="53">
        <v>41.481000000000002</v>
      </c>
      <c r="E45" s="54">
        <v>3666</v>
      </c>
      <c r="F45" s="48">
        <f t="shared" si="0"/>
        <v>152069.34600000002</v>
      </c>
    </row>
    <row r="46" spans="1:6" s="49" customFormat="1" ht="27.2" customHeight="1">
      <c r="A46" s="61">
        <v>27.04</v>
      </c>
      <c r="B46" s="51" t="s">
        <v>87</v>
      </c>
      <c r="C46" s="62" t="s">
        <v>58</v>
      </c>
      <c r="D46" s="53">
        <v>1531.25</v>
      </c>
      <c r="E46" s="54">
        <v>3666</v>
      </c>
      <c r="F46" s="48">
        <f t="shared" si="0"/>
        <v>5613562.5</v>
      </c>
    </row>
    <row r="47" spans="1:6" s="49" customFormat="1" ht="27.2" customHeight="1">
      <c r="A47" s="61">
        <v>27.05</v>
      </c>
      <c r="B47" s="51" t="s">
        <v>88</v>
      </c>
      <c r="C47" s="62" t="s">
        <v>58</v>
      </c>
      <c r="D47" s="53">
        <v>629.53</v>
      </c>
      <c r="E47" s="54">
        <v>3666</v>
      </c>
      <c r="F47" s="48">
        <f t="shared" si="0"/>
        <v>2307856.98</v>
      </c>
    </row>
    <row r="48" spans="1:6" s="49" customFormat="1" ht="84" customHeight="1">
      <c r="A48" s="50">
        <v>28</v>
      </c>
      <c r="B48" s="51" t="s">
        <v>95</v>
      </c>
      <c r="C48" s="56"/>
      <c r="D48" s="56"/>
      <c r="E48" s="56"/>
      <c r="F48" s="48" t="str">
        <f t="shared" si="0"/>
        <v xml:space="preserve"> </v>
      </c>
    </row>
    <row r="49" spans="1:6" s="49" customFormat="1" ht="27.2" customHeight="1">
      <c r="A49" s="61">
        <v>28.01</v>
      </c>
      <c r="B49" s="51" t="s">
        <v>83</v>
      </c>
      <c r="C49" s="62" t="s">
        <v>58</v>
      </c>
      <c r="D49" s="53">
        <v>3.42</v>
      </c>
      <c r="E49" s="54">
        <v>3850</v>
      </c>
      <c r="F49" s="48">
        <f t="shared" si="0"/>
        <v>13167</v>
      </c>
    </row>
    <row r="50" spans="1:6" s="49" customFormat="1" ht="27.2" customHeight="1">
      <c r="A50" s="61">
        <v>28.02</v>
      </c>
      <c r="B50" s="51" t="s">
        <v>84</v>
      </c>
      <c r="C50" s="62" t="s">
        <v>58</v>
      </c>
      <c r="D50" s="53">
        <v>1.52</v>
      </c>
      <c r="E50" s="54">
        <v>3850</v>
      </c>
      <c r="F50" s="48">
        <f t="shared" si="0"/>
        <v>5852</v>
      </c>
    </row>
    <row r="51" spans="1:6" s="49" customFormat="1" ht="27.2" customHeight="1">
      <c r="A51" s="61">
        <v>28.03</v>
      </c>
      <c r="B51" s="51" t="s">
        <v>88</v>
      </c>
      <c r="C51" s="62" t="s">
        <v>58</v>
      </c>
      <c r="D51" s="53">
        <v>6.9340000000000002</v>
      </c>
      <c r="E51" s="54">
        <v>3850</v>
      </c>
      <c r="F51" s="48">
        <f t="shared" si="0"/>
        <v>26695.9</v>
      </c>
    </row>
    <row r="52" spans="1:6" s="49" customFormat="1" ht="64.5" customHeight="1">
      <c r="A52" s="50">
        <v>29</v>
      </c>
      <c r="B52" s="51" t="s">
        <v>96</v>
      </c>
      <c r="C52" s="56"/>
      <c r="D52" s="56"/>
      <c r="E52" s="56"/>
      <c r="F52" s="48" t="str">
        <f t="shared" si="0"/>
        <v xml:space="preserve"> </v>
      </c>
    </row>
    <row r="53" spans="1:6" s="49" customFormat="1" ht="27.2" customHeight="1">
      <c r="A53" s="61">
        <v>29.01</v>
      </c>
      <c r="B53" s="51" t="s">
        <v>83</v>
      </c>
      <c r="C53" s="63" t="s">
        <v>97</v>
      </c>
      <c r="D53" s="53">
        <v>135</v>
      </c>
      <c r="E53" s="54">
        <v>4410</v>
      </c>
      <c r="F53" s="48">
        <f t="shared" si="0"/>
        <v>595350</v>
      </c>
    </row>
    <row r="54" spans="1:6" s="49" customFormat="1" ht="27.2" customHeight="1">
      <c r="A54" s="61">
        <v>29.02</v>
      </c>
      <c r="B54" s="51" t="s">
        <v>84</v>
      </c>
      <c r="C54" s="63" t="s">
        <v>97</v>
      </c>
      <c r="D54" s="53">
        <v>120</v>
      </c>
      <c r="E54" s="54">
        <v>4410</v>
      </c>
      <c r="F54" s="48">
        <f t="shared" si="0"/>
        <v>529200</v>
      </c>
    </row>
    <row r="55" spans="1:6" s="49" customFormat="1" ht="27.2" customHeight="1">
      <c r="A55" s="61">
        <v>29.03</v>
      </c>
      <c r="B55" s="51" t="s">
        <v>88</v>
      </c>
      <c r="C55" s="63" t="s">
        <v>97</v>
      </c>
      <c r="D55" s="53">
        <v>75</v>
      </c>
      <c r="E55" s="54">
        <v>4410</v>
      </c>
      <c r="F55" s="48">
        <f t="shared" si="0"/>
        <v>330750</v>
      </c>
    </row>
    <row r="56" spans="1:6" s="49" customFormat="1" ht="74.849999999999994" customHeight="1">
      <c r="A56" s="50">
        <v>30</v>
      </c>
      <c r="B56" s="56" t="s">
        <v>98</v>
      </c>
      <c r="C56" s="56"/>
      <c r="D56" s="56"/>
      <c r="E56" s="56"/>
      <c r="F56" s="48" t="str">
        <f t="shared" si="0"/>
        <v xml:space="preserve"> </v>
      </c>
    </row>
    <row r="57" spans="1:6" s="49" customFormat="1" ht="27.2" customHeight="1">
      <c r="A57" s="61">
        <v>30.01</v>
      </c>
      <c r="B57" s="51" t="s">
        <v>86</v>
      </c>
      <c r="C57" s="63" t="s">
        <v>97</v>
      </c>
      <c r="D57" s="53">
        <v>60</v>
      </c>
      <c r="E57" s="54">
        <v>2243</v>
      </c>
      <c r="F57" s="48">
        <f t="shared" si="0"/>
        <v>134580</v>
      </c>
    </row>
    <row r="58" spans="1:6" s="49" customFormat="1" ht="99.6" customHeight="1">
      <c r="A58" s="50">
        <v>31</v>
      </c>
      <c r="B58" s="51" t="s">
        <v>99</v>
      </c>
      <c r="C58" s="56"/>
      <c r="D58" s="56"/>
      <c r="E58" s="56"/>
      <c r="F58" s="48" t="str">
        <f t="shared" si="0"/>
        <v xml:space="preserve"> </v>
      </c>
    </row>
    <row r="59" spans="1:6" s="49" customFormat="1" ht="27.2" customHeight="1">
      <c r="A59" s="61">
        <v>31.01</v>
      </c>
      <c r="B59" s="51" t="s">
        <v>86</v>
      </c>
      <c r="C59" s="64" t="s">
        <v>58</v>
      </c>
      <c r="D59" s="53">
        <v>2.1</v>
      </c>
      <c r="E59" s="54">
        <v>4528</v>
      </c>
      <c r="F59" s="48">
        <f t="shared" si="0"/>
        <v>9508.8000000000011</v>
      </c>
    </row>
    <row r="60" spans="1:6" s="49" customFormat="1" ht="27.2" customHeight="1">
      <c r="A60" s="61">
        <v>31.02</v>
      </c>
      <c r="B60" s="51" t="s">
        <v>88</v>
      </c>
      <c r="C60" s="65" t="s">
        <v>58</v>
      </c>
      <c r="D60" s="53">
        <v>73.388000000000005</v>
      </c>
      <c r="E60" s="54">
        <v>4528</v>
      </c>
      <c r="F60" s="48">
        <f t="shared" si="0"/>
        <v>332300.864</v>
      </c>
    </row>
    <row r="61" spans="1:6" s="49" customFormat="1" ht="43.7" customHeight="1">
      <c r="A61" s="50">
        <v>32</v>
      </c>
      <c r="B61" s="51" t="s">
        <v>100</v>
      </c>
      <c r="C61" s="56"/>
      <c r="D61" s="56"/>
      <c r="E61" s="56"/>
      <c r="F61" s="48" t="str">
        <f t="shared" si="0"/>
        <v xml:space="preserve"> </v>
      </c>
    </row>
    <row r="62" spans="1:6" s="49" customFormat="1" ht="27.2" customHeight="1">
      <c r="A62" s="61">
        <v>32.01</v>
      </c>
      <c r="B62" s="51" t="s">
        <v>86</v>
      </c>
      <c r="C62" s="65" t="s">
        <v>101</v>
      </c>
      <c r="D62" s="53">
        <v>83.52</v>
      </c>
      <c r="E62" s="54">
        <v>139</v>
      </c>
      <c r="F62" s="48">
        <f t="shared" si="0"/>
        <v>11609.279999999999</v>
      </c>
    </row>
    <row r="63" spans="1:6" s="49" customFormat="1" ht="27.2" customHeight="1">
      <c r="A63" s="61">
        <v>32.020000000000003</v>
      </c>
      <c r="B63" s="51" t="s">
        <v>88</v>
      </c>
      <c r="C63" s="65" t="s">
        <v>101</v>
      </c>
      <c r="D63" s="53">
        <v>161.69</v>
      </c>
      <c r="E63" s="54">
        <v>139</v>
      </c>
      <c r="F63" s="48">
        <f t="shared" si="0"/>
        <v>22474.91</v>
      </c>
    </row>
    <row r="64" spans="1:6" s="49" customFormat="1" ht="98.1" customHeight="1">
      <c r="A64" s="50">
        <v>33</v>
      </c>
      <c r="B64" s="56" t="s">
        <v>102</v>
      </c>
      <c r="C64" s="56"/>
      <c r="D64" s="56"/>
      <c r="E64" s="56"/>
      <c r="F64" s="48" t="str">
        <f t="shared" si="0"/>
        <v xml:space="preserve"> </v>
      </c>
    </row>
    <row r="65" spans="1:6" s="49" customFormat="1" ht="27.2" customHeight="1">
      <c r="A65" s="61">
        <v>33.01</v>
      </c>
      <c r="B65" s="51" t="s">
        <v>85</v>
      </c>
      <c r="C65" s="65" t="s">
        <v>58</v>
      </c>
      <c r="D65" s="53">
        <v>272.8</v>
      </c>
      <c r="E65" s="54">
        <v>3590</v>
      </c>
      <c r="F65" s="48">
        <f t="shared" si="0"/>
        <v>979352</v>
      </c>
    </row>
    <row r="66" spans="1:6" s="49" customFormat="1" ht="84" customHeight="1">
      <c r="A66" s="50">
        <v>34</v>
      </c>
      <c r="B66" s="56" t="s">
        <v>103</v>
      </c>
      <c r="C66" s="56"/>
      <c r="D66" s="56"/>
      <c r="E66" s="56"/>
      <c r="F66" s="48" t="str">
        <f t="shared" si="0"/>
        <v xml:space="preserve"> </v>
      </c>
    </row>
    <row r="67" spans="1:6" s="49" customFormat="1" ht="27.2" customHeight="1">
      <c r="A67" s="61">
        <v>34.01</v>
      </c>
      <c r="B67" s="51" t="s">
        <v>85</v>
      </c>
      <c r="C67" s="65" t="s">
        <v>58</v>
      </c>
      <c r="D67" s="53">
        <v>414.37</v>
      </c>
      <c r="E67" s="54">
        <v>3915</v>
      </c>
      <c r="F67" s="48">
        <f t="shared" ref="F67:F97" si="1">IF(D67,D67*E67," ")</f>
        <v>1622258.55</v>
      </c>
    </row>
    <row r="68" spans="1:6" s="49" customFormat="1" ht="75.2" customHeight="1">
      <c r="A68" s="50">
        <v>35</v>
      </c>
      <c r="B68" s="51" t="s">
        <v>104</v>
      </c>
      <c r="C68" s="56"/>
      <c r="D68" s="56"/>
      <c r="E68" s="56"/>
      <c r="F68" s="48" t="str">
        <f t="shared" si="1"/>
        <v xml:space="preserve"> </v>
      </c>
    </row>
    <row r="69" spans="1:6" s="49" customFormat="1" ht="27.2" customHeight="1">
      <c r="A69" s="61">
        <v>35.01</v>
      </c>
      <c r="B69" s="51" t="s">
        <v>87</v>
      </c>
      <c r="C69" s="65" t="s">
        <v>105</v>
      </c>
      <c r="D69" s="53">
        <v>120</v>
      </c>
      <c r="E69" s="54">
        <v>114</v>
      </c>
      <c r="F69" s="48">
        <f t="shared" si="1"/>
        <v>13680</v>
      </c>
    </row>
    <row r="70" spans="1:6" s="49" customFormat="1" ht="27.2" customHeight="1">
      <c r="A70" s="61">
        <v>35.020000000000003</v>
      </c>
      <c r="B70" s="51" t="s">
        <v>85</v>
      </c>
      <c r="C70" s="65" t="s">
        <v>105</v>
      </c>
      <c r="D70" s="53">
        <v>420</v>
      </c>
      <c r="E70" s="54">
        <v>114</v>
      </c>
      <c r="F70" s="48">
        <f t="shared" si="1"/>
        <v>47880</v>
      </c>
    </row>
    <row r="71" spans="1:6" s="49" customFormat="1" ht="50.25" customHeight="1">
      <c r="A71" s="50">
        <v>36</v>
      </c>
      <c r="B71" s="56" t="s">
        <v>106</v>
      </c>
      <c r="C71" s="56"/>
      <c r="D71" s="56"/>
      <c r="E71" s="56"/>
      <c r="F71" s="48" t="str">
        <f t="shared" si="1"/>
        <v xml:space="preserve"> </v>
      </c>
    </row>
    <row r="72" spans="1:6" s="49" customFormat="1" ht="27.2" customHeight="1">
      <c r="A72" s="61">
        <v>36.01</v>
      </c>
      <c r="B72" s="51" t="s">
        <v>85</v>
      </c>
      <c r="C72" s="65" t="s">
        <v>107</v>
      </c>
      <c r="D72" s="53">
        <v>64.55</v>
      </c>
      <c r="E72" s="54">
        <v>88737</v>
      </c>
      <c r="F72" s="48">
        <f t="shared" si="1"/>
        <v>5727973.3499999996</v>
      </c>
    </row>
    <row r="73" spans="1:6" s="49" customFormat="1" ht="27.2" customHeight="1">
      <c r="A73" s="61">
        <v>36.020000000000003</v>
      </c>
      <c r="B73" s="51" t="s">
        <v>88</v>
      </c>
      <c r="C73" s="65" t="s">
        <v>107</v>
      </c>
      <c r="D73" s="53">
        <v>4.4029999999999996</v>
      </c>
      <c r="E73" s="54">
        <v>88737</v>
      </c>
      <c r="F73" s="48">
        <f t="shared" si="1"/>
        <v>390709.01099999994</v>
      </c>
    </row>
    <row r="74" spans="1:6" s="49" customFormat="1" ht="68.45" customHeight="1">
      <c r="A74" s="50">
        <v>37</v>
      </c>
      <c r="B74" s="56" t="s">
        <v>108</v>
      </c>
      <c r="C74" s="56"/>
      <c r="D74" s="56"/>
      <c r="E74" s="56"/>
      <c r="F74" s="48" t="str">
        <f t="shared" si="1"/>
        <v xml:space="preserve"> </v>
      </c>
    </row>
    <row r="75" spans="1:6" s="49" customFormat="1" ht="27.2" customHeight="1">
      <c r="A75" s="61">
        <v>37.01</v>
      </c>
      <c r="B75" s="51" t="s">
        <v>85</v>
      </c>
      <c r="C75" s="66" t="s">
        <v>107</v>
      </c>
      <c r="D75" s="53">
        <v>57.16</v>
      </c>
      <c r="E75" s="54">
        <v>88567</v>
      </c>
      <c r="F75" s="48">
        <f t="shared" si="1"/>
        <v>5062489.72</v>
      </c>
    </row>
    <row r="76" spans="1:6" s="49" customFormat="1" ht="94.5" customHeight="1">
      <c r="A76" s="50">
        <v>38</v>
      </c>
      <c r="B76" s="51" t="s">
        <v>109</v>
      </c>
      <c r="C76" s="56"/>
      <c r="D76" s="56"/>
      <c r="E76" s="56"/>
      <c r="F76" s="48" t="str">
        <f t="shared" si="1"/>
        <v xml:space="preserve"> </v>
      </c>
    </row>
    <row r="77" spans="1:6" s="49" customFormat="1" ht="27.2" customHeight="1">
      <c r="A77" s="61">
        <v>38.01</v>
      </c>
      <c r="B77" s="51" t="s">
        <v>85</v>
      </c>
      <c r="C77" s="52" t="s">
        <v>58</v>
      </c>
      <c r="D77" s="53">
        <v>297.08999999999997</v>
      </c>
      <c r="E77" s="54">
        <v>6307</v>
      </c>
      <c r="F77" s="48">
        <f t="shared" si="1"/>
        <v>1873746.63</v>
      </c>
    </row>
    <row r="78" spans="1:6" s="49" customFormat="1" ht="69" customHeight="1">
      <c r="A78" s="50">
        <v>39</v>
      </c>
      <c r="B78" s="51" t="s">
        <v>110</v>
      </c>
      <c r="C78" s="56"/>
      <c r="D78" s="56"/>
      <c r="E78" s="56"/>
      <c r="F78" s="48" t="str">
        <f t="shared" si="1"/>
        <v xml:space="preserve"> </v>
      </c>
    </row>
    <row r="79" spans="1:6" s="49" customFormat="1" ht="27.2" customHeight="1">
      <c r="A79" s="61">
        <v>39.01</v>
      </c>
      <c r="B79" s="51" t="s">
        <v>85</v>
      </c>
      <c r="C79" s="52" t="s">
        <v>58</v>
      </c>
      <c r="D79" s="53">
        <v>43.56</v>
      </c>
      <c r="E79" s="54">
        <v>7720</v>
      </c>
      <c r="F79" s="48">
        <f t="shared" si="1"/>
        <v>336283.2</v>
      </c>
    </row>
    <row r="80" spans="1:6" s="49" customFormat="1" ht="58.5" customHeight="1">
      <c r="A80" s="50">
        <v>40</v>
      </c>
      <c r="B80" s="51" t="s">
        <v>111</v>
      </c>
      <c r="C80" s="56"/>
      <c r="D80" s="56"/>
      <c r="E80" s="56"/>
      <c r="F80" s="48" t="str">
        <f t="shared" si="1"/>
        <v xml:space="preserve"> </v>
      </c>
    </row>
    <row r="81" spans="1:6" s="49" customFormat="1" ht="27.2" customHeight="1">
      <c r="A81" s="61">
        <v>40.01</v>
      </c>
      <c r="B81" s="51" t="s">
        <v>85</v>
      </c>
      <c r="C81" s="52" t="s">
        <v>58</v>
      </c>
      <c r="D81" s="53">
        <v>14.22</v>
      </c>
      <c r="E81" s="54">
        <v>2471</v>
      </c>
      <c r="F81" s="48">
        <f t="shared" si="1"/>
        <v>35137.620000000003</v>
      </c>
    </row>
    <row r="82" spans="1:6" s="49" customFormat="1" ht="69.599999999999994" customHeight="1">
      <c r="A82" s="50">
        <v>41</v>
      </c>
      <c r="B82" s="51" t="s">
        <v>112</v>
      </c>
      <c r="C82" s="56"/>
      <c r="D82" s="56"/>
      <c r="E82" s="56"/>
      <c r="F82" s="48" t="str">
        <f t="shared" si="1"/>
        <v xml:space="preserve"> </v>
      </c>
    </row>
    <row r="83" spans="1:6" s="49" customFormat="1" ht="27.2" customHeight="1">
      <c r="A83" s="61">
        <v>41.01</v>
      </c>
      <c r="B83" s="51" t="s">
        <v>85</v>
      </c>
      <c r="C83" s="52" t="s">
        <v>58</v>
      </c>
      <c r="D83" s="53">
        <v>21.33</v>
      </c>
      <c r="E83" s="54">
        <v>7073</v>
      </c>
      <c r="F83" s="48">
        <f t="shared" si="1"/>
        <v>150867.09</v>
      </c>
    </row>
    <row r="84" spans="1:6" s="49" customFormat="1" ht="57" customHeight="1">
      <c r="A84" s="50">
        <v>42</v>
      </c>
      <c r="B84" s="51" t="s">
        <v>113</v>
      </c>
      <c r="C84" s="56"/>
      <c r="D84" s="56"/>
      <c r="E84" s="56"/>
      <c r="F84" s="48" t="str">
        <f t="shared" si="1"/>
        <v xml:space="preserve"> </v>
      </c>
    </row>
    <row r="85" spans="1:6" s="49" customFormat="1" ht="27.2" customHeight="1">
      <c r="A85" s="61">
        <v>42.01</v>
      </c>
      <c r="B85" s="51" t="s">
        <v>85</v>
      </c>
      <c r="C85" s="52" t="s">
        <v>107</v>
      </c>
      <c r="D85" s="53">
        <v>27.07</v>
      </c>
      <c r="E85" s="54">
        <v>89654</v>
      </c>
      <c r="F85" s="48">
        <f t="shared" si="1"/>
        <v>2426933.7799999998</v>
      </c>
    </row>
    <row r="86" spans="1:6" s="49" customFormat="1" ht="119.1" customHeight="1">
      <c r="A86" s="50">
        <v>43</v>
      </c>
      <c r="B86" s="51" t="s">
        <v>114</v>
      </c>
      <c r="C86" s="56"/>
      <c r="D86" s="56"/>
      <c r="E86" s="56"/>
      <c r="F86" s="48" t="str">
        <f t="shared" si="1"/>
        <v xml:space="preserve"> </v>
      </c>
    </row>
    <row r="87" spans="1:6" s="49" customFormat="1" ht="27.2" customHeight="1">
      <c r="A87" s="61">
        <v>43.01</v>
      </c>
      <c r="B87" s="51" t="s">
        <v>85</v>
      </c>
      <c r="C87" s="52" t="s">
        <v>58</v>
      </c>
      <c r="D87" s="53">
        <v>246.32</v>
      </c>
      <c r="E87" s="54">
        <v>745</v>
      </c>
      <c r="F87" s="48">
        <f t="shared" si="1"/>
        <v>183508.4</v>
      </c>
    </row>
    <row r="88" spans="1:6" s="49" customFormat="1" ht="65.099999999999994" customHeight="1">
      <c r="A88" s="50">
        <v>44</v>
      </c>
      <c r="B88" s="51" t="s">
        <v>115</v>
      </c>
      <c r="C88" s="56"/>
      <c r="D88" s="56"/>
      <c r="E88" s="56"/>
      <c r="F88" s="48" t="str">
        <f t="shared" si="1"/>
        <v xml:space="preserve"> </v>
      </c>
    </row>
    <row r="89" spans="1:6" s="49" customFormat="1" ht="27.2" customHeight="1">
      <c r="A89" s="61">
        <v>44.01</v>
      </c>
      <c r="B89" s="51" t="s">
        <v>85</v>
      </c>
      <c r="C89" s="60" t="s">
        <v>58</v>
      </c>
      <c r="D89" s="53">
        <v>419.13</v>
      </c>
      <c r="E89" s="54">
        <v>560</v>
      </c>
      <c r="F89" s="48">
        <f t="shared" si="1"/>
        <v>234712.8</v>
      </c>
    </row>
    <row r="90" spans="1:6" s="49" customFormat="1" ht="75.75" customHeight="1">
      <c r="A90" s="50">
        <v>45</v>
      </c>
      <c r="B90" s="51" t="s">
        <v>116</v>
      </c>
      <c r="C90" s="56"/>
      <c r="D90" s="56"/>
      <c r="E90" s="56"/>
      <c r="F90" s="48" t="str">
        <f t="shared" si="1"/>
        <v xml:space="preserve"> </v>
      </c>
    </row>
    <row r="91" spans="1:6" s="49" customFormat="1" ht="27.2" customHeight="1">
      <c r="A91" s="61">
        <v>45.01</v>
      </c>
      <c r="B91" s="51" t="s">
        <v>85</v>
      </c>
      <c r="C91" s="67" t="s">
        <v>117</v>
      </c>
      <c r="D91" s="53">
        <v>25.5</v>
      </c>
      <c r="E91" s="54">
        <v>3673</v>
      </c>
      <c r="F91" s="48">
        <f t="shared" si="1"/>
        <v>93661.5</v>
      </c>
    </row>
    <row r="92" spans="1:6" s="49" customFormat="1" ht="56.45" customHeight="1">
      <c r="A92" s="50">
        <v>46</v>
      </c>
      <c r="B92" s="51" t="s">
        <v>118</v>
      </c>
      <c r="C92" s="56"/>
      <c r="D92" s="56"/>
      <c r="E92" s="56"/>
      <c r="F92" s="48" t="str">
        <f t="shared" si="1"/>
        <v xml:space="preserve"> </v>
      </c>
    </row>
    <row r="93" spans="1:6" s="49" customFormat="1" ht="27.2" customHeight="1">
      <c r="A93" s="61">
        <v>46.01</v>
      </c>
      <c r="B93" s="51" t="s">
        <v>85</v>
      </c>
      <c r="C93" s="65" t="s">
        <v>119</v>
      </c>
      <c r="D93" s="53">
        <v>2</v>
      </c>
      <c r="E93" s="54">
        <v>1383</v>
      </c>
      <c r="F93" s="48">
        <f t="shared" si="1"/>
        <v>2766</v>
      </c>
    </row>
    <row r="94" spans="1:6" s="49" customFormat="1" ht="228.6" customHeight="1">
      <c r="A94" s="50">
        <v>47</v>
      </c>
      <c r="B94" s="51" t="s">
        <v>120</v>
      </c>
      <c r="C94" s="56"/>
      <c r="D94" s="56"/>
      <c r="E94" s="56"/>
      <c r="F94" s="48" t="str">
        <f t="shared" si="1"/>
        <v xml:space="preserve"> </v>
      </c>
    </row>
    <row r="95" spans="1:6" s="49" customFormat="1" ht="27.2" customHeight="1">
      <c r="A95" s="61">
        <v>47.01</v>
      </c>
      <c r="B95" s="51" t="s">
        <v>85</v>
      </c>
      <c r="C95" s="65" t="s">
        <v>58</v>
      </c>
      <c r="D95" s="53">
        <v>34.424999999999997</v>
      </c>
      <c r="E95" s="54">
        <v>4747</v>
      </c>
      <c r="F95" s="48">
        <f t="shared" si="1"/>
        <v>163415.47499999998</v>
      </c>
    </row>
    <row r="96" spans="1:6" s="49" customFormat="1" ht="67.5" customHeight="1">
      <c r="A96" s="50">
        <v>48</v>
      </c>
      <c r="B96" s="51" t="s">
        <v>121</v>
      </c>
      <c r="C96" s="56"/>
      <c r="D96" s="56"/>
      <c r="E96" s="56"/>
      <c r="F96" s="48" t="str">
        <f t="shared" si="1"/>
        <v xml:space="preserve"> </v>
      </c>
    </row>
    <row r="97" spans="1:7" s="49" customFormat="1" ht="27.2" customHeight="1">
      <c r="A97" s="61">
        <v>48.01</v>
      </c>
      <c r="B97" s="51" t="s">
        <v>88</v>
      </c>
      <c r="C97" s="65" t="s">
        <v>65</v>
      </c>
      <c r="D97" s="53">
        <v>139.32</v>
      </c>
      <c r="E97" s="54">
        <v>942</v>
      </c>
      <c r="F97" s="48">
        <f t="shared" si="1"/>
        <v>131239.44</v>
      </c>
    </row>
    <row r="98" spans="1:7" ht="12.75" thickBot="1">
      <c r="B98" s="6" t="s">
        <v>37</v>
      </c>
      <c r="F98" s="5">
        <f>SUM(F1:F97)</f>
        <v>52136454.936000004</v>
      </c>
      <c r="G98" s="6"/>
    </row>
    <row r="99" spans="1:7" ht="12.75" thickBot="1">
      <c r="B99" s="6" t="s">
        <v>38</v>
      </c>
      <c r="C99" s="26" t="s">
        <v>36</v>
      </c>
      <c r="D99" s="69">
        <f>Title!B17</f>
        <v>9.0500000000000007</v>
      </c>
      <c r="E99" s="39" t="str">
        <f>Title!B18</f>
        <v>Below</v>
      </c>
      <c r="F99" s="5">
        <f>IF(E99 &gt; 0,  IF(E99 = "above", ROUND(F98 * D99 / 100, 0), IF(E99 = "below", -ROUND(F98 * D99 / 100, 0), IF(E99 = 0, 0, 0))))</f>
        <v>-4718349</v>
      </c>
      <c r="G99" s="6"/>
    </row>
    <row r="100" spans="1:7" ht="12.75" thickBot="1">
      <c r="B100" s="24" t="s">
        <v>39</v>
      </c>
      <c r="C100" s="25"/>
      <c r="D100" s="25"/>
      <c r="E100" s="25"/>
      <c r="F100" s="20">
        <f>F98+F99</f>
        <v>47418105.936000004</v>
      </c>
      <c r="G100" s="6"/>
    </row>
    <row r="101" spans="1:7">
      <c r="G101" s="6"/>
    </row>
    <row r="102" spans="1:7">
      <c r="G102" s="6"/>
    </row>
    <row r="103" spans="1:7">
      <c r="G103" s="6"/>
    </row>
    <row r="104" spans="1:7">
      <c r="G104" s="6"/>
    </row>
    <row r="105" spans="1:7">
      <c r="G105" s="6"/>
    </row>
    <row r="106" spans="1:7">
      <c r="G106" s="6"/>
    </row>
    <row r="107" spans="1:7">
      <c r="G107" s="6"/>
    </row>
    <row r="108" spans="1:7">
      <c r="G108" s="6"/>
    </row>
    <row r="109" spans="1:7">
      <c r="G109" s="6"/>
    </row>
    <row r="110" spans="1:7">
      <c r="G110" s="6"/>
    </row>
    <row r="111" spans="1:7">
      <c r="G111" s="6"/>
    </row>
    <row r="112" spans="1:7">
      <c r="G112" s="6"/>
    </row>
    <row r="113" spans="7:7">
      <c r="G113" s="6"/>
    </row>
  </sheetData>
  <pageMargins left="0.70866141732283505" right="0.70866141732283505" top="0.74803149606299202" bottom="0.74803149606299202" header="0.31496062992126" footer="0.31496062992126"/>
  <pageSetup paperSize="9" scale="69" fitToHeight="22" orientation="portrait" r:id="rId1"/>
  <headerFooter>
    <oddFooter>&amp;CAgrement No.-54&amp;R&amp;P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72"/>
  <sheetViews>
    <sheetView workbookViewId="0">
      <selection activeCell="B20" sqref="B20"/>
    </sheetView>
  </sheetViews>
  <sheetFormatPr defaultRowHeight="12"/>
  <cols>
    <col min="1" max="1" width="29" style="2" bestFit="1" customWidth="1"/>
    <col min="2" max="2" width="6.42578125" style="2" bestFit="1" customWidth="1"/>
    <col min="3" max="3" width="65.140625" style="2" bestFit="1" customWidth="1"/>
    <col min="4" max="4" width="7.85546875" style="2" customWidth="1"/>
    <col min="5" max="5" width="4.5703125" style="2" bestFit="1" customWidth="1"/>
    <col min="6" max="6" width="7.5703125" style="2" bestFit="1" customWidth="1"/>
    <col min="7" max="7" width="9.85546875" style="2" customWidth="1"/>
    <col min="8" max="8" width="30.7109375" style="2" customWidth="1"/>
    <col min="9" max="254" width="8.85546875" style="2"/>
    <col min="255" max="255" width="5.42578125" style="2" customWidth="1"/>
    <col min="256" max="256" width="7" style="2" customWidth="1"/>
    <col min="257" max="257" width="29" style="2" customWidth="1"/>
    <col min="258" max="258" width="7" style="2" bestFit="1" customWidth="1"/>
    <col min="259" max="259" width="4.85546875" style="2" bestFit="1" customWidth="1"/>
    <col min="260" max="260" width="7.5703125" style="2" bestFit="1" customWidth="1"/>
    <col min="261" max="261" width="9.85546875" style="2" customWidth="1"/>
    <col min="262" max="262" width="23.5703125" style="2" customWidth="1"/>
    <col min="263" max="510" width="8.85546875" style="2"/>
    <col min="511" max="511" width="5.42578125" style="2" customWidth="1"/>
    <col min="512" max="512" width="7" style="2" customWidth="1"/>
    <col min="513" max="513" width="29" style="2" customWidth="1"/>
    <col min="514" max="514" width="7" style="2" bestFit="1" customWidth="1"/>
    <col min="515" max="515" width="4.85546875" style="2" bestFit="1" customWidth="1"/>
    <col min="516" max="516" width="7.5703125" style="2" bestFit="1" customWidth="1"/>
    <col min="517" max="517" width="9.85546875" style="2" customWidth="1"/>
    <col min="518" max="518" width="23.5703125" style="2" customWidth="1"/>
    <col min="519" max="766" width="8.85546875" style="2"/>
    <col min="767" max="767" width="5.42578125" style="2" customWidth="1"/>
    <col min="768" max="768" width="7" style="2" customWidth="1"/>
    <col min="769" max="769" width="29" style="2" customWidth="1"/>
    <col min="770" max="770" width="7" style="2" bestFit="1" customWidth="1"/>
    <col min="771" max="771" width="4.85546875" style="2" bestFit="1" customWidth="1"/>
    <col min="772" max="772" width="7.5703125" style="2" bestFit="1" customWidth="1"/>
    <col min="773" max="773" width="9.85546875" style="2" customWidth="1"/>
    <col min="774" max="774" width="23.5703125" style="2" customWidth="1"/>
    <col min="775" max="1022" width="8.85546875" style="2"/>
    <col min="1023" max="1023" width="5.42578125" style="2" customWidth="1"/>
    <col min="1024" max="1024" width="7" style="2" customWidth="1"/>
    <col min="1025" max="1025" width="29" style="2" customWidth="1"/>
    <col min="1026" max="1026" width="7" style="2" bestFit="1" customWidth="1"/>
    <col min="1027" max="1027" width="4.85546875" style="2" bestFit="1" customWidth="1"/>
    <col min="1028" max="1028" width="7.5703125" style="2" bestFit="1" customWidth="1"/>
    <col min="1029" max="1029" width="9.85546875" style="2" customWidth="1"/>
    <col min="1030" max="1030" width="23.5703125" style="2" customWidth="1"/>
    <col min="1031" max="1278" width="8.85546875" style="2"/>
    <col min="1279" max="1279" width="5.42578125" style="2" customWidth="1"/>
    <col min="1280" max="1280" width="7" style="2" customWidth="1"/>
    <col min="1281" max="1281" width="29" style="2" customWidth="1"/>
    <col min="1282" max="1282" width="7" style="2" bestFit="1" customWidth="1"/>
    <col min="1283" max="1283" width="4.85546875" style="2" bestFit="1" customWidth="1"/>
    <col min="1284" max="1284" width="7.5703125" style="2" bestFit="1" customWidth="1"/>
    <col min="1285" max="1285" width="9.85546875" style="2" customWidth="1"/>
    <col min="1286" max="1286" width="23.5703125" style="2" customWidth="1"/>
    <col min="1287" max="1534" width="8.85546875" style="2"/>
    <col min="1535" max="1535" width="5.42578125" style="2" customWidth="1"/>
    <col min="1536" max="1536" width="7" style="2" customWidth="1"/>
    <col min="1537" max="1537" width="29" style="2" customWidth="1"/>
    <col min="1538" max="1538" width="7" style="2" bestFit="1" customWidth="1"/>
    <col min="1539" max="1539" width="4.85546875" style="2" bestFit="1" customWidth="1"/>
    <col min="1540" max="1540" width="7.5703125" style="2" bestFit="1" customWidth="1"/>
    <col min="1541" max="1541" width="9.85546875" style="2" customWidth="1"/>
    <col min="1542" max="1542" width="23.5703125" style="2" customWidth="1"/>
    <col min="1543" max="1790" width="8.85546875" style="2"/>
    <col min="1791" max="1791" width="5.42578125" style="2" customWidth="1"/>
    <col min="1792" max="1792" width="7" style="2" customWidth="1"/>
    <col min="1793" max="1793" width="29" style="2" customWidth="1"/>
    <col min="1794" max="1794" width="7" style="2" bestFit="1" customWidth="1"/>
    <col min="1795" max="1795" width="4.85546875" style="2" bestFit="1" customWidth="1"/>
    <col min="1796" max="1796" width="7.5703125" style="2" bestFit="1" customWidth="1"/>
    <col min="1797" max="1797" width="9.85546875" style="2" customWidth="1"/>
    <col min="1798" max="1798" width="23.5703125" style="2" customWidth="1"/>
    <col min="1799" max="2046" width="8.85546875" style="2"/>
    <col min="2047" max="2047" width="5.42578125" style="2" customWidth="1"/>
    <col min="2048" max="2048" width="7" style="2" customWidth="1"/>
    <col min="2049" max="2049" width="29" style="2" customWidth="1"/>
    <col min="2050" max="2050" width="7" style="2" bestFit="1" customWidth="1"/>
    <col min="2051" max="2051" width="4.85546875" style="2" bestFit="1" customWidth="1"/>
    <col min="2052" max="2052" width="7.5703125" style="2" bestFit="1" customWidth="1"/>
    <col min="2053" max="2053" width="9.85546875" style="2" customWidth="1"/>
    <col min="2054" max="2054" width="23.5703125" style="2" customWidth="1"/>
    <col min="2055" max="2302" width="8.85546875" style="2"/>
    <col min="2303" max="2303" width="5.42578125" style="2" customWidth="1"/>
    <col min="2304" max="2304" width="7" style="2" customWidth="1"/>
    <col min="2305" max="2305" width="29" style="2" customWidth="1"/>
    <col min="2306" max="2306" width="7" style="2" bestFit="1" customWidth="1"/>
    <col min="2307" max="2307" width="4.85546875" style="2" bestFit="1" customWidth="1"/>
    <col min="2308" max="2308" width="7.5703125" style="2" bestFit="1" customWidth="1"/>
    <col min="2309" max="2309" width="9.85546875" style="2" customWidth="1"/>
    <col min="2310" max="2310" width="23.5703125" style="2" customWidth="1"/>
    <col min="2311" max="2558" width="8.85546875" style="2"/>
    <col min="2559" max="2559" width="5.42578125" style="2" customWidth="1"/>
    <col min="2560" max="2560" width="7" style="2" customWidth="1"/>
    <col min="2561" max="2561" width="29" style="2" customWidth="1"/>
    <col min="2562" max="2562" width="7" style="2" bestFit="1" customWidth="1"/>
    <col min="2563" max="2563" width="4.85546875" style="2" bestFit="1" customWidth="1"/>
    <col min="2564" max="2564" width="7.5703125" style="2" bestFit="1" customWidth="1"/>
    <col min="2565" max="2565" width="9.85546875" style="2" customWidth="1"/>
    <col min="2566" max="2566" width="23.5703125" style="2" customWidth="1"/>
    <col min="2567" max="2814" width="8.85546875" style="2"/>
    <col min="2815" max="2815" width="5.42578125" style="2" customWidth="1"/>
    <col min="2816" max="2816" width="7" style="2" customWidth="1"/>
    <col min="2817" max="2817" width="29" style="2" customWidth="1"/>
    <col min="2818" max="2818" width="7" style="2" bestFit="1" customWidth="1"/>
    <col min="2819" max="2819" width="4.85546875" style="2" bestFit="1" customWidth="1"/>
    <col min="2820" max="2820" width="7.5703125" style="2" bestFit="1" customWidth="1"/>
    <col min="2821" max="2821" width="9.85546875" style="2" customWidth="1"/>
    <col min="2822" max="2822" width="23.5703125" style="2" customWidth="1"/>
    <col min="2823" max="3070" width="8.85546875" style="2"/>
    <col min="3071" max="3071" width="5.42578125" style="2" customWidth="1"/>
    <col min="3072" max="3072" width="7" style="2" customWidth="1"/>
    <col min="3073" max="3073" width="29" style="2" customWidth="1"/>
    <col min="3074" max="3074" width="7" style="2" bestFit="1" customWidth="1"/>
    <col min="3075" max="3075" width="4.85546875" style="2" bestFit="1" customWidth="1"/>
    <col min="3076" max="3076" width="7.5703125" style="2" bestFit="1" customWidth="1"/>
    <col min="3077" max="3077" width="9.85546875" style="2" customWidth="1"/>
    <col min="3078" max="3078" width="23.5703125" style="2" customWidth="1"/>
    <col min="3079" max="3326" width="8.85546875" style="2"/>
    <col min="3327" max="3327" width="5.42578125" style="2" customWidth="1"/>
    <col min="3328" max="3328" width="7" style="2" customWidth="1"/>
    <col min="3329" max="3329" width="29" style="2" customWidth="1"/>
    <col min="3330" max="3330" width="7" style="2" bestFit="1" customWidth="1"/>
    <col min="3331" max="3331" width="4.85546875" style="2" bestFit="1" customWidth="1"/>
    <col min="3332" max="3332" width="7.5703125" style="2" bestFit="1" customWidth="1"/>
    <col min="3333" max="3333" width="9.85546875" style="2" customWidth="1"/>
    <col min="3334" max="3334" width="23.5703125" style="2" customWidth="1"/>
    <col min="3335" max="3582" width="8.85546875" style="2"/>
    <col min="3583" max="3583" width="5.42578125" style="2" customWidth="1"/>
    <col min="3584" max="3584" width="7" style="2" customWidth="1"/>
    <col min="3585" max="3585" width="29" style="2" customWidth="1"/>
    <col min="3586" max="3586" width="7" style="2" bestFit="1" customWidth="1"/>
    <col min="3587" max="3587" width="4.85546875" style="2" bestFit="1" customWidth="1"/>
    <col min="3588" max="3588" width="7.5703125" style="2" bestFit="1" customWidth="1"/>
    <col min="3589" max="3589" width="9.85546875" style="2" customWidth="1"/>
    <col min="3590" max="3590" width="23.5703125" style="2" customWidth="1"/>
    <col min="3591" max="3838" width="8.85546875" style="2"/>
    <col min="3839" max="3839" width="5.42578125" style="2" customWidth="1"/>
    <col min="3840" max="3840" width="7" style="2" customWidth="1"/>
    <col min="3841" max="3841" width="29" style="2" customWidth="1"/>
    <col min="3842" max="3842" width="7" style="2" bestFit="1" customWidth="1"/>
    <col min="3843" max="3843" width="4.85546875" style="2" bestFit="1" customWidth="1"/>
    <col min="3844" max="3844" width="7.5703125" style="2" bestFit="1" customWidth="1"/>
    <col min="3845" max="3845" width="9.85546875" style="2" customWidth="1"/>
    <col min="3846" max="3846" width="23.5703125" style="2" customWidth="1"/>
    <col min="3847" max="4094" width="8.85546875" style="2"/>
    <col min="4095" max="4095" width="5.42578125" style="2" customWidth="1"/>
    <col min="4096" max="4096" width="7" style="2" customWidth="1"/>
    <col min="4097" max="4097" width="29" style="2" customWidth="1"/>
    <col min="4098" max="4098" width="7" style="2" bestFit="1" customWidth="1"/>
    <col min="4099" max="4099" width="4.85546875" style="2" bestFit="1" customWidth="1"/>
    <col min="4100" max="4100" width="7.5703125" style="2" bestFit="1" customWidth="1"/>
    <col min="4101" max="4101" width="9.85546875" style="2" customWidth="1"/>
    <col min="4102" max="4102" width="23.5703125" style="2" customWidth="1"/>
    <col min="4103" max="4350" width="8.85546875" style="2"/>
    <col min="4351" max="4351" width="5.42578125" style="2" customWidth="1"/>
    <col min="4352" max="4352" width="7" style="2" customWidth="1"/>
    <col min="4353" max="4353" width="29" style="2" customWidth="1"/>
    <col min="4354" max="4354" width="7" style="2" bestFit="1" customWidth="1"/>
    <col min="4355" max="4355" width="4.85546875" style="2" bestFit="1" customWidth="1"/>
    <col min="4356" max="4356" width="7.5703125" style="2" bestFit="1" customWidth="1"/>
    <col min="4357" max="4357" width="9.85546875" style="2" customWidth="1"/>
    <col min="4358" max="4358" width="23.5703125" style="2" customWidth="1"/>
    <col min="4359" max="4606" width="8.85546875" style="2"/>
    <col min="4607" max="4607" width="5.42578125" style="2" customWidth="1"/>
    <col min="4608" max="4608" width="7" style="2" customWidth="1"/>
    <col min="4609" max="4609" width="29" style="2" customWidth="1"/>
    <col min="4610" max="4610" width="7" style="2" bestFit="1" customWidth="1"/>
    <col min="4611" max="4611" width="4.85546875" style="2" bestFit="1" customWidth="1"/>
    <col min="4612" max="4612" width="7.5703125" style="2" bestFit="1" customWidth="1"/>
    <col min="4613" max="4613" width="9.85546875" style="2" customWidth="1"/>
    <col min="4614" max="4614" width="23.5703125" style="2" customWidth="1"/>
    <col min="4615" max="4862" width="8.85546875" style="2"/>
    <col min="4863" max="4863" width="5.42578125" style="2" customWidth="1"/>
    <col min="4864" max="4864" width="7" style="2" customWidth="1"/>
    <col min="4865" max="4865" width="29" style="2" customWidth="1"/>
    <col min="4866" max="4866" width="7" style="2" bestFit="1" customWidth="1"/>
    <col min="4867" max="4867" width="4.85546875" style="2" bestFit="1" customWidth="1"/>
    <col min="4868" max="4868" width="7.5703125" style="2" bestFit="1" customWidth="1"/>
    <col min="4869" max="4869" width="9.85546875" style="2" customWidth="1"/>
    <col min="4870" max="4870" width="23.5703125" style="2" customWidth="1"/>
    <col min="4871" max="5118" width="8.85546875" style="2"/>
    <col min="5119" max="5119" width="5.42578125" style="2" customWidth="1"/>
    <col min="5120" max="5120" width="7" style="2" customWidth="1"/>
    <col min="5121" max="5121" width="29" style="2" customWidth="1"/>
    <col min="5122" max="5122" width="7" style="2" bestFit="1" customWidth="1"/>
    <col min="5123" max="5123" width="4.85546875" style="2" bestFit="1" customWidth="1"/>
    <col min="5124" max="5124" width="7.5703125" style="2" bestFit="1" customWidth="1"/>
    <col min="5125" max="5125" width="9.85546875" style="2" customWidth="1"/>
    <col min="5126" max="5126" width="23.5703125" style="2" customWidth="1"/>
    <col min="5127" max="5374" width="8.85546875" style="2"/>
    <col min="5375" max="5375" width="5.42578125" style="2" customWidth="1"/>
    <col min="5376" max="5376" width="7" style="2" customWidth="1"/>
    <col min="5377" max="5377" width="29" style="2" customWidth="1"/>
    <col min="5378" max="5378" width="7" style="2" bestFit="1" customWidth="1"/>
    <col min="5379" max="5379" width="4.85546875" style="2" bestFit="1" customWidth="1"/>
    <col min="5380" max="5380" width="7.5703125" style="2" bestFit="1" customWidth="1"/>
    <col min="5381" max="5381" width="9.85546875" style="2" customWidth="1"/>
    <col min="5382" max="5382" width="23.5703125" style="2" customWidth="1"/>
    <col min="5383" max="5630" width="8.85546875" style="2"/>
    <col min="5631" max="5631" width="5.42578125" style="2" customWidth="1"/>
    <col min="5632" max="5632" width="7" style="2" customWidth="1"/>
    <col min="5633" max="5633" width="29" style="2" customWidth="1"/>
    <col min="5634" max="5634" width="7" style="2" bestFit="1" customWidth="1"/>
    <col min="5635" max="5635" width="4.85546875" style="2" bestFit="1" customWidth="1"/>
    <col min="5636" max="5636" width="7.5703125" style="2" bestFit="1" customWidth="1"/>
    <col min="5637" max="5637" width="9.85546875" style="2" customWidth="1"/>
    <col min="5638" max="5638" width="23.5703125" style="2" customWidth="1"/>
    <col min="5639" max="5886" width="8.85546875" style="2"/>
    <col min="5887" max="5887" width="5.42578125" style="2" customWidth="1"/>
    <col min="5888" max="5888" width="7" style="2" customWidth="1"/>
    <col min="5889" max="5889" width="29" style="2" customWidth="1"/>
    <col min="5890" max="5890" width="7" style="2" bestFit="1" customWidth="1"/>
    <col min="5891" max="5891" width="4.85546875" style="2" bestFit="1" customWidth="1"/>
    <col min="5892" max="5892" width="7.5703125" style="2" bestFit="1" customWidth="1"/>
    <col min="5893" max="5893" width="9.85546875" style="2" customWidth="1"/>
    <col min="5894" max="5894" width="23.5703125" style="2" customWidth="1"/>
    <col min="5895" max="6142" width="8.85546875" style="2"/>
    <col min="6143" max="6143" width="5.42578125" style="2" customWidth="1"/>
    <col min="6144" max="6144" width="7" style="2" customWidth="1"/>
    <col min="6145" max="6145" width="29" style="2" customWidth="1"/>
    <col min="6146" max="6146" width="7" style="2" bestFit="1" customWidth="1"/>
    <col min="6147" max="6147" width="4.85546875" style="2" bestFit="1" customWidth="1"/>
    <col min="6148" max="6148" width="7.5703125" style="2" bestFit="1" customWidth="1"/>
    <col min="6149" max="6149" width="9.85546875" style="2" customWidth="1"/>
    <col min="6150" max="6150" width="23.5703125" style="2" customWidth="1"/>
    <col min="6151" max="6398" width="8.85546875" style="2"/>
    <col min="6399" max="6399" width="5.42578125" style="2" customWidth="1"/>
    <col min="6400" max="6400" width="7" style="2" customWidth="1"/>
    <col min="6401" max="6401" width="29" style="2" customWidth="1"/>
    <col min="6402" max="6402" width="7" style="2" bestFit="1" customWidth="1"/>
    <col min="6403" max="6403" width="4.85546875" style="2" bestFit="1" customWidth="1"/>
    <col min="6404" max="6404" width="7.5703125" style="2" bestFit="1" customWidth="1"/>
    <col min="6405" max="6405" width="9.85546875" style="2" customWidth="1"/>
    <col min="6406" max="6406" width="23.5703125" style="2" customWidth="1"/>
    <col min="6407" max="6654" width="8.85546875" style="2"/>
    <col min="6655" max="6655" width="5.42578125" style="2" customWidth="1"/>
    <col min="6656" max="6656" width="7" style="2" customWidth="1"/>
    <col min="6657" max="6657" width="29" style="2" customWidth="1"/>
    <col min="6658" max="6658" width="7" style="2" bestFit="1" customWidth="1"/>
    <col min="6659" max="6659" width="4.85546875" style="2" bestFit="1" customWidth="1"/>
    <col min="6660" max="6660" width="7.5703125" style="2" bestFit="1" customWidth="1"/>
    <col min="6661" max="6661" width="9.85546875" style="2" customWidth="1"/>
    <col min="6662" max="6662" width="23.5703125" style="2" customWidth="1"/>
    <col min="6663" max="6910" width="8.85546875" style="2"/>
    <col min="6911" max="6911" width="5.42578125" style="2" customWidth="1"/>
    <col min="6912" max="6912" width="7" style="2" customWidth="1"/>
    <col min="6913" max="6913" width="29" style="2" customWidth="1"/>
    <col min="6914" max="6914" width="7" style="2" bestFit="1" customWidth="1"/>
    <col min="6915" max="6915" width="4.85546875" style="2" bestFit="1" customWidth="1"/>
    <col min="6916" max="6916" width="7.5703125" style="2" bestFit="1" customWidth="1"/>
    <col min="6917" max="6917" width="9.85546875" style="2" customWidth="1"/>
    <col min="6918" max="6918" width="23.5703125" style="2" customWidth="1"/>
    <col min="6919" max="7166" width="8.85546875" style="2"/>
    <col min="7167" max="7167" width="5.42578125" style="2" customWidth="1"/>
    <col min="7168" max="7168" width="7" style="2" customWidth="1"/>
    <col min="7169" max="7169" width="29" style="2" customWidth="1"/>
    <col min="7170" max="7170" width="7" style="2" bestFit="1" customWidth="1"/>
    <col min="7171" max="7171" width="4.85546875" style="2" bestFit="1" customWidth="1"/>
    <col min="7172" max="7172" width="7.5703125" style="2" bestFit="1" customWidth="1"/>
    <col min="7173" max="7173" width="9.85546875" style="2" customWidth="1"/>
    <col min="7174" max="7174" width="23.5703125" style="2" customWidth="1"/>
    <col min="7175" max="7422" width="8.85546875" style="2"/>
    <col min="7423" max="7423" width="5.42578125" style="2" customWidth="1"/>
    <col min="7424" max="7424" width="7" style="2" customWidth="1"/>
    <col min="7425" max="7425" width="29" style="2" customWidth="1"/>
    <col min="7426" max="7426" width="7" style="2" bestFit="1" customWidth="1"/>
    <col min="7427" max="7427" width="4.85546875" style="2" bestFit="1" customWidth="1"/>
    <col min="7428" max="7428" width="7.5703125" style="2" bestFit="1" customWidth="1"/>
    <col min="7429" max="7429" width="9.85546875" style="2" customWidth="1"/>
    <col min="7430" max="7430" width="23.5703125" style="2" customWidth="1"/>
    <col min="7431" max="7678" width="8.85546875" style="2"/>
    <col min="7679" max="7679" width="5.42578125" style="2" customWidth="1"/>
    <col min="7680" max="7680" width="7" style="2" customWidth="1"/>
    <col min="7681" max="7681" width="29" style="2" customWidth="1"/>
    <col min="7682" max="7682" width="7" style="2" bestFit="1" customWidth="1"/>
    <col min="7683" max="7683" width="4.85546875" style="2" bestFit="1" customWidth="1"/>
    <col min="7684" max="7684" width="7.5703125" style="2" bestFit="1" customWidth="1"/>
    <col min="7685" max="7685" width="9.85546875" style="2" customWidth="1"/>
    <col min="7686" max="7686" width="23.5703125" style="2" customWidth="1"/>
    <col min="7687" max="7934" width="8.85546875" style="2"/>
    <col min="7935" max="7935" width="5.42578125" style="2" customWidth="1"/>
    <col min="7936" max="7936" width="7" style="2" customWidth="1"/>
    <col min="7937" max="7937" width="29" style="2" customWidth="1"/>
    <col min="7938" max="7938" width="7" style="2" bestFit="1" customWidth="1"/>
    <col min="7939" max="7939" width="4.85546875" style="2" bestFit="1" customWidth="1"/>
    <col min="7940" max="7940" width="7.5703125" style="2" bestFit="1" customWidth="1"/>
    <col min="7941" max="7941" width="9.85546875" style="2" customWidth="1"/>
    <col min="7942" max="7942" width="23.5703125" style="2" customWidth="1"/>
    <col min="7943" max="8190" width="8.85546875" style="2"/>
    <col min="8191" max="8191" width="5.42578125" style="2" customWidth="1"/>
    <col min="8192" max="8192" width="7" style="2" customWidth="1"/>
    <col min="8193" max="8193" width="29" style="2" customWidth="1"/>
    <col min="8194" max="8194" width="7" style="2" bestFit="1" customWidth="1"/>
    <col min="8195" max="8195" width="4.85546875" style="2" bestFit="1" customWidth="1"/>
    <col min="8196" max="8196" width="7.5703125" style="2" bestFit="1" customWidth="1"/>
    <col min="8197" max="8197" width="9.85546875" style="2" customWidth="1"/>
    <col min="8198" max="8198" width="23.5703125" style="2" customWidth="1"/>
    <col min="8199" max="8446" width="8.85546875" style="2"/>
    <col min="8447" max="8447" width="5.42578125" style="2" customWidth="1"/>
    <col min="8448" max="8448" width="7" style="2" customWidth="1"/>
    <col min="8449" max="8449" width="29" style="2" customWidth="1"/>
    <col min="8450" max="8450" width="7" style="2" bestFit="1" customWidth="1"/>
    <col min="8451" max="8451" width="4.85546875" style="2" bestFit="1" customWidth="1"/>
    <col min="8452" max="8452" width="7.5703125" style="2" bestFit="1" customWidth="1"/>
    <col min="8453" max="8453" width="9.85546875" style="2" customWidth="1"/>
    <col min="8454" max="8454" width="23.5703125" style="2" customWidth="1"/>
    <col min="8455" max="8702" width="8.85546875" style="2"/>
    <col min="8703" max="8703" width="5.42578125" style="2" customWidth="1"/>
    <col min="8704" max="8704" width="7" style="2" customWidth="1"/>
    <col min="8705" max="8705" width="29" style="2" customWidth="1"/>
    <col min="8706" max="8706" width="7" style="2" bestFit="1" customWidth="1"/>
    <col min="8707" max="8707" width="4.85546875" style="2" bestFit="1" customWidth="1"/>
    <col min="8708" max="8708" width="7.5703125" style="2" bestFit="1" customWidth="1"/>
    <col min="8709" max="8709" width="9.85546875" style="2" customWidth="1"/>
    <col min="8710" max="8710" width="23.5703125" style="2" customWidth="1"/>
    <col min="8711" max="8958" width="8.85546875" style="2"/>
    <col min="8959" max="8959" width="5.42578125" style="2" customWidth="1"/>
    <col min="8960" max="8960" width="7" style="2" customWidth="1"/>
    <col min="8961" max="8961" width="29" style="2" customWidth="1"/>
    <col min="8962" max="8962" width="7" style="2" bestFit="1" customWidth="1"/>
    <col min="8963" max="8963" width="4.85546875" style="2" bestFit="1" customWidth="1"/>
    <col min="8964" max="8964" width="7.5703125" style="2" bestFit="1" customWidth="1"/>
    <col min="8965" max="8965" width="9.85546875" style="2" customWidth="1"/>
    <col min="8966" max="8966" width="23.5703125" style="2" customWidth="1"/>
    <col min="8967" max="9214" width="8.85546875" style="2"/>
    <col min="9215" max="9215" width="5.42578125" style="2" customWidth="1"/>
    <col min="9216" max="9216" width="7" style="2" customWidth="1"/>
    <col min="9217" max="9217" width="29" style="2" customWidth="1"/>
    <col min="9218" max="9218" width="7" style="2" bestFit="1" customWidth="1"/>
    <col min="9219" max="9219" width="4.85546875" style="2" bestFit="1" customWidth="1"/>
    <col min="9220" max="9220" width="7.5703125" style="2" bestFit="1" customWidth="1"/>
    <col min="9221" max="9221" width="9.85546875" style="2" customWidth="1"/>
    <col min="9222" max="9222" width="23.5703125" style="2" customWidth="1"/>
    <col min="9223" max="9470" width="8.85546875" style="2"/>
    <col min="9471" max="9471" width="5.42578125" style="2" customWidth="1"/>
    <col min="9472" max="9472" width="7" style="2" customWidth="1"/>
    <col min="9473" max="9473" width="29" style="2" customWidth="1"/>
    <col min="9474" max="9474" width="7" style="2" bestFit="1" customWidth="1"/>
    <col min="9475" max="9475" width="4.85546875" style="2" bestFit="1" customWidth="1"/>
    <col min="9476" max="9476" width="7.5703125" style="2" bestFit="1" customWidth="1"/>
    <col min="9477" max="9477" width="9.85546875" style="2" customWidth="1"/>
    <col min="9478" max="9478" width="23.5703125" style="2" customWidth="1"/>
    <col min="9479" max="9726" width="8.85546875" style="2"/>
    <col min="9727" max="9727" width="5.42578125" style="2" customWidth="1"/>
    <col min="9728" max="9728" width="7" style="2" customWidth="1"/>
    <col min="9729" max="9729" width="29" style="2" customWidth="1"/>
    <col min="9730" max="9730" width="7" style="2" bestFit="1" customWidth="1"/>
    <col min="9731" max="9731" width="4.85546875" style="2" bestFit="1" customWidth="1"/>
    <col min="9732" max="9732" width="7.5703125" style="2" bestFit="1" customWidth="1"/>
    <col min="9733" max="9733" width="9.85546875" style="2" customWidth="1"/>
    <col min="9734" max="9734" width="23.5703125" style="2" customWidth="1"/>
    <col min="9735" max="9982" width="8.85546875" style="2"/>
    <col min="9983" max="9983" width="5.42578125" style="2" customWidth="1"/>
    <col min="9984" max="9984" width="7" style="2" customWidth="1"/>
    <col min="9985" max="9985" width="29" style="2" customWidth="1"/>
    <col min="9986" max="9986" width="7" style="2" bestFit="1" customWidth="1"/>
    <col min="9987" max="9987" width="4.85546875" style="2" bestFit="1" customWidth="1"/>
    <col min="9988" max="9988" width="7.5703125" style="2" bestFit="1" customWidth="1"/>
    <col min="9989" max="9989" width="9.85546875" style="2" customWidth="1"/>
    <col min="9990" max="9990" width="23.5703125" style="2" customWidth="1"/>
    <col min="9991" max="10238" width="8.85546875" style="2"/>
    <col min="10239" max="10239" width="5.42578125" style="2" customWidth="1"/>
    <col min="10240" max="10240" width="7" style="2" customWidth="1"/>
    <col min="10241" max="10241" width="29" style="2" customWidth="1"/>
    <col min="10242" max="10242" width="7" style="2" bestFit="1" customWidth="1"/>
    <col min="10243" max="10243" width="4.85546875" style="2" bestFit="1" customWidth="1"/>
    <col min="10244" max="10244" width="7.5703125" style="2" bestFit="1" customWidth="1"/>
    <col min="10245" max="10245" width="9.85546875" style="2" customWidth="1"/>
    <col min="10246" max="10246" width="23.5703125" style="2" customWidth="1"/>
    <col min="10247" max="10494" width="8.85546875" style="2"/>
    <col min="10495" max="10495" width="5.42578125" style="2" customWidth="1"/>
    <col min="10496" max="10496" width="7" style="2" customWidth="1"/>
    <col min="10497" max="10497" width="29" style="2" customWidth="1"/>
    <col min="10498" max="10498" width="7" style="2" bestFit="1" customWidth="1"/>
    <col min="10499" max="10499" width="4.85546875" style="2" bestFit="1" customWidth="1"/>
    <col min="10500" max="10500" width="7.5703125" style="2" bestFit="1" customWidth="1"/>
    <col min="10501" max="10501" width="9.85546875" style="2" customWidth="1"/>
    <col min="10502" max="10502" width="23.5703125" style="2" customWidth="1"/>
    <col min="10503" max="10750" width="8.85546875" style="2"/>
    <col min="10751" max="10751" width="5.42578125" style="2" customWidth="1"/>
    <col min="10752" max="10752" width="7" style="2" customWidth="1"/>
    <col min="10753" max="10753" width="29" style="2" customWidth="1"/>
    <col min="10754" max="10754" width="7" style="2" bestFit="1" customWidth="1"/>
    <col min="10755" max="10755" width="4.85546875" style="2" bestFit="1" customWidth="1"/>
    <col min="10756" max="10756" width="7.5703125" style="2" bestFit="1" customWidth="1"/>
    <col min="10757" max="10757" width="9.85546875" style="2" customWidth="1"/>
    <col min="10758" max="10758" width="23.5703125" style="2" customWidth="1"/>
    <col min="10759" max="11006" width="8.85546875" style="2"/>
    <col min="11007" max="11007" width="5.42578125" style="2" customWidth="1"/>
    <col min="11008" max="11008" width="7" style="2" customWidth="1"/>
    <col min="11009" max="11009" width="29" style="2" customWidth="1"/>
    <col min="11010" max="11010" width="7" style="2" bestFit="1" customWidth="1"/>
    <col min="11011" max="11011" width="4.85546875" style="2" bestFit="1" customWidth="1"/>
    <col min="11012" max="11012" width="7.5703125" style="2" bestFit="1" customWidth="1"/>
    <col min="11013" max="11013" width="9.85546875" style="2" customWidth="1"/>
    <col min="11014" max="11014" width="23.5703125" style="2" customWidth="1"/>
    <col min="11015" max="11262" width="8.85546875" style="2"/>
    <col min="11263" max="11263" width="5.42578125" style="2" customWidth="1"/>
    <col min="11264" max="11264" width="7" style="2" customWidth="1"/>
    <col min="11265" max="11265" width="29" style="2" customWidth="1"/>
    <col min="11266" max="11266" width="7" style="2" bestFit="1" customWidth="1"/>
    <col min="11267" max="11267" width="4.85546875" style="2" bestFit="1" customWidth="1"/>
    <col min="11268" max="11268" width="7.5703125" style="2" bestFit="1" customWidth="1"/>
    <col min="11269" max="11269" width="9.85546875" style="2" customWidth="1"/>
    <col min="11270" max="11270" width="23.5703125" style="2" customWidth="1"/>
    <col min="11271" max="11518" width="8.85546875" style="2"/>
    <col min="11519" max="11519" width="5.42578125" style="2" customWidth="1"/>
    <col min="11520" max="11520" width="7" style="2" customWidth="1"/>
    <col min="11521" max="11521" width="29" style="2" customWidth="1"/>
    <col min="11522" max="11522" width="7" style="2" bestFit="1" customWidth="1"/>
    <col min="11523" max="11523" width="4.85546875" style="2" bestFit="1" customWidth="1"/>
    <col min="11524" max="11524" width="7.5703125" style="2" bestFit="1" customWidth="1"/>
    <col min="11525" max="11525" width="9.85546875" style="2" customWidth="1"/>
    <col min="11526" max="11526" width="23.5703125" style="2" customWidth="1"/>
    <col min="11527" max="11774" width="8.85546875" style="2"/>
    <col min="11775" max="11775" width="5.42578125" style="2" customWidth="1"/>
    <col min="11776" max="11776" width="7" style="2" customWidth="1"/>
    <col min="11777" max="11777" width="29" style="2" customWidth="1"/>
    <col min="11778" max="11778" width="7" style="2" bestFit="1" customWidth="1"/>
    <col min="11779" max="11779" width="4.85546875" style="2" bestFit="1" customWidth="1"/>
    <col min="11780" max="11780" width="7.5703125" style="2" bestFit="1" customWidth="1"/>
    <col min="11781" max="11781" width="9.85546875" style="2" customWidth="1"/>
    <col min="11782" max="11782" width="23.5703125" style="2" customWidth="1"/>
    <col min="11783" max="12030" width="8.85546875" style="2"/>
    <col min="12031" max="12031" width="5.42578125" style="2" customWidth="1"/>
    <col min="12032" max="12032" width="7" style="2" customWidth="1"/>
    <col min="12033" max="12033" width="29" style="2" customWidth="1"/>
    <col min="12034" max="12034" width="7" style="2" bestFit="1" customWidth="1"/>
    <col min="12035" max="12035" width="4.85546875" style="2" bestFit="1" customWidth="1"/>
    <col min="12036" max="12036" width="7.5703125" style="2" bestFit="1" customWidth="1"/>
    <col min="12037" max="12037" width="9.85546875" style="2" customWidth="1"/>
    <col min="12038" max="12038" width="23.5703125" style="2" customWidth="1"/>
    <col min="12039" max="12286" width="8.85546875" style="2"/>
    <col min="12287" max="12287" width="5.42578125" style="2" customWidth="1"/>
    <col min="12288" max="12288" width="7" style="2" customWidth="1"/>
    <col min="12289" max="12289" width="29" style="2" customWidth="1"/>
    <col min="12290" max="12290" width="7" style="2" bestFit="1" customWidth="1"/>
    <col min="12291" max="12291" width="4.85546875" style="2" bestFit="1" customWidth="1"/>
    <col min="12292" max="12292" width="7.5703125" style="2" bestFit="1" customWidth="1"/>
    <col min="12293" max="12293" width="9.85546875" style="2" customWidth="1"/>
    <col min="12294" max="12294" width="23.5703125" style="2" customWidth="1"/>
    <col min="12295" max="12542" width="8.85546875" style="2"/>
    <col min="12543" max="12543" width="5.42578125" style="2" customWidth="1"/>
    <col min="12544" max="12544" width="7" style="2" customWidth="1"/>
    <col min="12545" max="12545" width="29" style="2" customWidth="1"/>
    <col min="12546" max="12546" width="7" style="2" bestFit="1" customWidth="1"/>
    <col min="12547" max="12547" width="4.85546875" style="2" bestFit="1" customWidth="1"/>
    <col min="12548" max="12548" width="7.5703125" style="2" bestFit="1" customWidth="1"/>
    <col min="12549" max="12549" width="9.85546875" style="2" customWidth="1"/>
    <col min="12550" max="12550" width="23.5703125" style="2" customWidth="1"/>
    <col min="12551" max="12798" width="8.85546875" style="2"/>
    <col min="12799" max="12799" width="5.42578125" style="2" customWidth="1"/>
    <col min="12800" max="12800" width="7" style="2" customWidth="1"/>
    <col min="12801" max="12801" width="29" style="2" customWidth="1"/>
    <col min="12802" max="12802" width="7" style="2" bestFit="1" customWidth="1"/>
    <col min="12803" max="12803" width="4.85546875" style="2" bestFit="1" customWidth="1"/>
    <col min="12804" max="12804" width="7.5703125" style="2" bestFit="1" customWidth="1"/>
    <col min="12805" max="12805" width="9.85546875" style="2" customWidth="1"/>
    <col min="12806" max="12806" width="23.5703125" style="2" customWidth="1"/>
    <col min="12807" max="13054" width="8.85546875" style="2"/>
    <col min="13055" max="13055" width="5.42578125" style="2" customWidth="1"/>
    <col min="13056" max="13056" width="7" style="2" customWidth="1"/>
    <col min="13057" max="13057" width="29" style="2" customWidth="1"/>
    <col min="13058" max="13058" width="7" style="2" bestFit="1" customWidth="1"/>
    <col min="13059" max="13059" width="4.85546875" style="2" bestFit="1" customWidth="1"/>
    <col min="13060" max="13060" width="7.5703125" style="2" bestFit="1" customWidth="1"/>
    <col min="13061" max="13061" width="9.85546875" style="2" customWidth="1"/>
    <col min="13062" max="13062" width="23.5703125" style="2" customWidth="1"/>
    <col min="13063" max="13310" width="8.85546875" style="2"/>
    <col min="13311" max="13311" width="5.42578125" style="2" customWidth="1"/>
    <col min="13312" max="13312" width="7" style="2" customWidth="1"/>
    <col min="13313" max="13313" width="29" style="2" customWidth="1"/>
    <col min="13314" max="13314" width="7" style="2" bestFit="1" customWidth="1"/>
    <col min="13315" max="13315" width="4.85546875" style="2" bestFit="1" customWidth="1"/>
    <col min="13316" max="13316" width="7.5703125" style="2" bestFit="1" customWidth="1"/>
    <col min="13317" max="13317" width="9.85546875" style="2" customWidth="1"/>
    <col min="13318" max="13318" width="23.5703125" style="2" customWidth="1"/>
    <col min="13319" max="13566" width="8.85546875" style="2"/>
    <col min="13567" max="13567" width="5.42578125" style="2" customWidth="1"/>
    <col min="13568" max="13568" width="7" style="2" customWidth="1"/>
    <col min="13569" max="13569" width="29" style="2" customWidth="1"/>
    <col min="13570" max="13570" width="7" style="2" bestFit="1" customWidth="1"/>
    <col min="13571" max="13571" width="4.85546875" style="2" bestFit="1" customWidth="1"/>
    <col min="13572" max="13572" width="7.5703125" style="2" bestFit="1" customWidth="1"/>
    <col min="13573" max="13573" width="9.85546875" style="2" customWidth="1"/>
    <col min="13574" max="13574" width="23.5703125" style="2" customWidth="1"/>
    <col min="13575" max="13822" width="8.85546875" style="2"/>
    <col min="13823" max="13823" width="5.42578125" style="2" customWidth="1"/>
    <col min="13824" max="13824" width="7" style="2" customWidth="1"/>
    <col min="13825" max="13825" width="29" style="2" customWidth="1"/>
    <col min="13826" max="13826" width="7" style="2" bestFit="1" customWidth="1"/>
    <col min="13827" max="13827" width="4.85546875" style="2" bestFit="1" customWidth="1"/>
    <col min="13828" max="13828" width="7.5703125" style="2" bestFit="1" customWidth="1"/>
    <col min="13829" max="13829" width="9.85546875" style="2" customWidth="1"/>
    <col min="13830" max="13830" width="23.5703125" style="2" customWidth="1"/>
    <col min="13831" max="14078" width="8.85546875" style="2"/>
    <col min="14079" max="14079" width="5.42578125" style="2" customWidth="1"/>
    <col min="14080" max="14080" width="7" style="2" customWidth="1"/>
    <col min="14081" max="14081" width="29" style="2" customWidth="1"/>
    <col min="14082" max="14082" width="7" style="2" bestFit="1" customWidth="1"/>
    <col min="14083" max="14083" width="4.85546875" style="2" bestFit="1" customWidth="1"/>
    <col min="14084" max="14084" width="7.5703125" style="2" bestFit="1" customWidth="1"/>
    <col min="14085" max="14085" width="9.85546875" style="2" customWidth="1"/>
    <col min="14086" max="14086" width="23.5703125" style="2" customWidth="1"/>
    <col min="14087" max="14334" width="8.85546875" style="2"/>
    <col min="14335" max="14335" width="5.42578125" style="2" customWidth="1"/>
    <col min="14336" max="14336" width="7" style="2" customWidth="1"/>
    <col min="14337" max="14337" width="29" style="2" customWidth="1"/>
    <col min="14338" max="14338" width="7" style="2" bestFit="1" customWidth="1"/>
    <col min="14339" max="14339" width="4.85546875" style="2" bestFit="1" customWidth="1"/>
    <col min="14340" max="14340" width="7.5703125" style="2" bestFit="1" customWidth="1"/>
    <col min="14341" max="14341" width="9.85546875" style="2" customWidth="1"/>
    <col min="14342" max="14342" width="23.5703125" style="2" customWidth="1"/>
    <col min="14343" max="14590" width="8.85546875" style="2"/>
    <col min="14591" max="14591" width="5.42578125" style="2" customWidth="1"/>
    <col min="14592" max="14592" width="7" style="2" customWidth="1"/>
    <col min="14593" max="14593" width="29" style="2" customWidth="1"/>
    <col min="14594" max="14594" width="7" style="2" bestFit="1" customWidth="1"/>
    <col min="14595" max="14595" width="4.85546875" style="2" bestFit="1" customWidth="1"/>
    <col min="14596" max="14596" width="7.5703125" style="2" bestFit="1" customWidth="1"/>
    <col min="14597" max="14597" width="9.85546875" style="2" customWidth="1"/>
    <col min="14598" max="14598" width="23.5703125" style="2" customWidth="1"/>
    <col min="14599" max="14846" width="8.85546875" style="2"/>
    <col min="14847" max="14847" width="5.42578125" style="2" customWidth="1"/>
    <col min="14848" max="14848" width="7" style="2" customWidth="1"/>
    <col min="14849" max="14849" width="29" style="2" customWidth="1"/>
    <col min="14850" max="14850" width="7" style="2" bestFit="1" customWidth="1"/>
    <col min="14851" max="14851" width="4.85546875" style="2" bestFit="1" customWidth="1"/>
    <col min="14852" max="14852" width="7.5703125" style="2" bestFit="1" customWidth="1"/>
    <col min="14853" max="14853" width="9.85546875" style="2" customWidth="1"/>
    <col min="14854" max="14854" width="23.5703125" style="2" customWidth="1"/>
    <col min="14855" max="15102" width="8.85546875" style="2"/>
    <col min="15103" max="15103" width="5.42578125" style="2" customWidth="1"/>
    <col min="15104" max="15104" width="7" style="2" customWidth="1"/>
    <col min="15105" max="15105" width="29" style="2" customWidth="1"/>
    <col min="15106" max="15106" width="7" style="2" bestFit="1" customWidth="1"/>
    <col min="15107" max="15107" width="4.85546875" style="2" bestFit="1" customWidth="1"/>
    <col min="15108" max="15108" width="7.5703125" style="2" bestFit="1" customWidth="1"/>
    <col min="15109" max="15109" width="9.85546875" style="2" customWidth="1"/>
    <col min="15110" max="15110" width="23.5703125" style="2" customWidth="1"/>
    <col min="15111" max="15358" width="8.85546875" style="2"/>
    <col min="15359" max="15359" width="5.42578125" style="2" customWidth="1"/>
    <col min="15360" max="15360" width="7" style="2" customWidth="1"/>
    <col min="15361" max="15361" width="29" style="2" customWidth="1"/>
    <col min="15362" max="15362" width="7" style="2" bestFit="1" customWidth="1"/>
    <col min="15363" max="15363" width="4.85546875" style="2" bestFit="1" customWidth="1"/>
    <col min="15364" max="15364" width="7.5703125" style="2" bestFit="1" customWidth="1"/>
    <col min="15365" max="15365" width="9.85546875" style="2" customWidth="1"/>
    <col min="15366" max="15366" width="23.5703125" style="2" customWidth="1"/>
    <col min="15367" max="15614" width="8.85546875" style="2"/>
    <col min="15615" max="15615" width="5.42578125" style="2" customWidth="1"/>
    <col min="15616" max="15616" width="7" style="2" customWidth="1"/>
    <col min="15617" max="15617" width="29" style="2" customWidth="1"/>
    <col min="15618" max="15618" width="7" style="2" bestFit="1" customWidth="1"/>
    <col min="15619" max="15619" width="4.85546875" style="2" bestFit="1" customWidth="1"/>
    <col min="15620" max="15620" width="7.5703125" style="2" bestFit="1" customWidth="1"/>
    <col min="15621" max="15621" width="9.85546875" style="2" customWidth="1"/>
    <col min="15622" max="15622" width="23.5703125" style="2" customWidth="1"/>
    <col min="15623" max="15870" width="8.85546875" style="2"/>
    <col min="15871" max="15871" width="5.42578125" style="2" customWidth="1"/>
    <col min="15872" max="15872" width="7" style="2" customWidth="1"/>
    <col min="15873" max="15873" width="29" style="2" customWidth="1"/>
    <col min="15874" max="15874" width="7" style="2" bestFit="1" customWidth="1"/>
    <col min="15875" max="15875" width="4.85546875" style="2" bestFit="1" customWidth="1"/>
    <col min="15876" max="15876" width="7.5703125" style="2" bestFit="1" customWidth="1"/>
    <col min="15877" max="15877" width="9.85546875" style="2" customWidth="1"/>
    <col min="15878" max="15878" width="23.5703125" style="2" customWidth="1"/>
    <col min="15879" max="16126" width="8.85546875" style="2"/>
    <col min="16127" max="16127" width="5.42578125" style="2" customWidth="1"/>
    <col min="16128" max="16128" width="7" style="2" customWidth="1"/>
    <col min="16129" max="16129" width="29" style="2" customWidth="1"/>
    <col min="16130" max="16130" width="7" style="2" bestFit="1" customWidth="1"/>
    <col min="16131" max="16131" width="4.85546875" style="2" bestFit="1" customWidth="1"/>
    <col min="16132" max="16132" width="7.5703125" style="2" bestFit="1" customWidth="1"/>
    <col min="16133" max="16133" width="9.85546875" style="2" customWidth="1"/>
    <col min="16134" max="16134" width="23.5703125" style="2" customWidth="1"/>
    <col min="16135" max="16384" width="8.85546875" style="2"/>
  </cols>
  <sheetData>
    <row r="1" spans="1:8">
      <c r="A1" s="8"/>
      <c r="B1" s="8"/>
      <c r="C1" s="8"/>
      <c r="D1" s="11" t="s">
        <v>33</v>
      </c>
      <c r="E1" s="8"/>
    </row>
    <row r="2" spans="1:8">
      <c r="A2" s="4" t="s">
        <v>23</v>
      </c>
      <c r="B2" s="4"/>
      <c r="C2" s="37" t="str">
        <f>Title!B6</f>
        <v>Construction of Aamli Fala Bridge and Kherveda Nai Basti to Veeri Border Via Kuniya Vali Mata Road</v>
      </c>
      <c r="D2" s="4"/>
      <c r="E2" s="4"/>
      <c r="F2" s="4"/>
      <c r="G2" s="4"/>
      <c r="H2" s="4"/>
    </row>
    <row r="3" spans="1:8">
      <c r="A3" s="12" t="s">
        <v>17</v>
      </c>
      <c r="B3" s="1"/>
      <c r="C3" s="38" t="str">
        <f>Title!B5</f>
        <v>M/s. Shri Bajrang Construction, Padli Gujareshwar, Dungarpur</v>
      </c>
    </row>
    <row r="4" spans="1:8">
      <c r="A4" s="2" t="s">
        <v>34</v>
      </c>
      <c r="B4" s="1"/>
      <c r="C4" s="38" t="str">
        <f>Title!B9</f>
        <v>1909 Dt. 17-07-2023</v>
      </c>
    </row>
    <row r="5" spans="1:8" ht="13.5" customHeight="1"/>
    <row r="6" spans="1:8" s="1" customFormat="1" ht="36">
      <c r="A6" s="13" t="s">
        <v>9</v>
      </c>
      <c r="B6" s="13" t="s">
        <v>32</v>
      </c>
      <c r="C6" s="13" t="s">
        <v>31</v>
      </c>
      <c r="D6" s="13" t="s">
        <v>30</v>
      </c>
      <c r="E6" s="13" t="s">
        <v>44</v>
      </c>
      <c r="F6" s="13" t="s">
        <v>4</v>
      </c>
      <c r="G6" s="13" t="s">
        <v>5</v>
      </c>
      <c r="H6" s="13" t="s">
        <v>8</v>
      </c>
    </row>
    <row r="7" spans="1:8">
      <c r="A7" s="14" t="s">
        <v>24</v>
      </c>
      <c r="B7" s="13"/>
      <c r="C7" s="15"/>
      <c r="D7" s="10">
        <v>0</v>
      </c>
      <c r="E7" s="10" t="s">
        <v>6</v>
      </c>
      <c r="F7" s="16">
        <v>5075</v>
      </c>
      <c r="G7" s="18">
        <f>IF(ISBLANK(D7),"",ROUND(D7*F7,0))</f>
        <v>0</v>
      </c>
      <c r="H7" s="17"/>
    </row>
    <row r="8" spans="1:8">
      <c r="A8" s="14" t="s">
        <v>25</v>
      </c>
      <c r="B8" s="13"/>
      <c r="C8" s="15"/>
      <c r="D8" s="10">
        <v>0</v>
      </c>
      <c r="E8" s="10" t="s">
        <v>6</v>
      </c>
      <c r="F8" s="16">
        <v>107</v>
      </c>
      <c r="G8" s="18">
        <f t="shared" ref="G8:G12" si="0">IF(ISBLANK(D8),"",ROUND(D8*F8,0))</f>
        <v>0</v>
      </c>
      <c r="H8" s="17"/>
    </row>
    <row r="9" spans="1:8">
      <c r="A9" s="14" t="s">
        <v>26</v>
      </c>
      <c r="B9" s="13"/>
      <c r="C9" s="15"/>
      <c r="D9" s="10">
        <v>0</v>
      </c>
      <c r="E9" s="10" t="s">
        <v>6</v>
      </c>
      <c r="F9" s="16">
        <v>176</v>
      </c>
      <c r="G9" s="18">
        <f t="shared" si="0"/>
        <v>0</v>
      </c>
      <c r="H9" s="17"/>
    </row>
    <row r="10" spans="1:8">
      <c r="A10" s="14" t="s">
        <v>27</v>
      </c>
      <c r="B10" s="13"/>
      <c r="C10" s="15"/>
      <c r="D10" s="10">
        <v>0</v>
      </c>
      <c r="E10" s="10" t="s">
        <v>6</v>
      </c>
      <c r="F10" s="16">
        <v>345</v>
      </c>
      <c r="G10" s="18">
        <f t="shared" si="0"/>
        <v>0</v>
      </c>
      <c r="H10" s="17"/>
    </row>
    <row r="11" spans="1:8">
      <c r="A11" s="14" t="s">
        <v>28</v>
      </c>
      <c r="B11" s="13"/>
      <c r="C11" s="15"/>
      <c r="D11" s="10">
        <v>0</v>
      </c>
      <c r="E11" s="10" t="s">
        <v>6</v>
      </c>
      <c r="F11" s="16">
        <v>107</v>
      </c>
      <c r="G11" s="18">
        <f t="shared" si="0"/>
        <v>0</v>
      </c>
      <c r="H11" s="17"/>
    </row>
    <row r="12" spans="1:8">
      <c r="A12" s="14" t="s">
        <v>29</v>
      </c>
      <c r="B12" s="13"/>
      <c r="C12" s="15"/>
      <c r="D12" s="10">
        <v>0</v>
      </c>
      <c r="E12" s="10" t="s">
        <v>6</v>
      </c>
      <c r="F12" s="16">
        <v>176</v>
      </c>
      <c r="G12" s="18">
        <f t="shared" si="0"/>
        <v>0</v>
      </c>
      <c r="H12" s="17"/>
    </row>
    <row r="13" spans="1:8">
      <c r="A13" s="22"/>
      <c r="B13" s="70"/>
      <c r="C13" s="73" t="s">
        <v>37</v>
      </c>
      <c r="D13" s="74"/>
      <c r="E13" s="74"/>
      <c r="F13" s="74"/>
      <c r="G13" s="41">
        <f>SUM(G7:G12)</f>
        <v>0</v>
      </c>
      <c r="H13" s="23"/>
    </row>
    <row r="14" spans="1:8" ht="12.75" thickBot="1">
      <c r="A14" s="9"/>
      <c r="B14" s="1"/>
      <c r="C14" s="73" t="s">
        <v>38</v>
      </c>
      <c r="D14" s="75" t="s">
        <v>36</v>
      </c>
      <c r="E14" s="76">
        <f>Title!B17</f>
        <v>9.0500000000000007</v>
      </c>
      <c r="F14" s="77" t="str">
        <f>Title!B18</f>
        <v>Below</v>
      </c>
      <c r="G14" s="41">
        <f>IF(F14 &gt; 0,  IF(F14 = "above", ROUND(G13 * E14 / 100, 0), IF(F14 = "below", -ROUND(G13 * E14 / 100, 0), IF(F14 = 0, 0, 0))))</f>
        <v>0</v>
      </c>
    </row>
    <row r="15" spans="1:8" ht="12.75" thickBot="1">
      <c r="A15" s="9"/>
      <c r="B15" s="1"/>
      <c r="C15" s="71" t="s">
        <v>39</v>
      </c>
      <c r="D15" s="72"/>
      <c r="E15" s="72"/>
      <c r="F15" s="72"/>
      <c r="G15" s="42">
        <f>G13+G14</f>
        <v>0</v>
      </c>
    </row>
    <row r="16" spans="1:8">
      <c r="A16" s="9"/>
      <c r="B16" s="3"/>
      <c r="C16" s="3"/>
    </row>
    <row r="17" spans="1:3">
      <c r="A17" s="9"/>
      <c r="B17" s="3"/>
      <c r="C17" s="3"/>
    </row>
    <row r="18" spans="1:3">
      <c r="A18" s="9"/>
      <c r="B18" s="3"/>
      <c r="C18" s="3"/>
    </row>
    <row r="19" spans="1:3">
      <c r="A19" s="9"/>
      <c r="B19" s="3"/>
      <c r="C19" s="3"/>
    </row>
    <row r="20" spans="1:3">
      <c r="A20" s="9"/>
      <c r="B20" s="3"/>
      <c r="C20" s="3"/>
    </row>
    <row r="21" spans="1:3">
      <c r="A21" s="9"/>
      <c r="B21" s="3"/>
      <c r="C21" s="3"/>
    </row>
    <row r="22" spans="1:3">
      <c r="A22" s="9"/>
      <c r="B22" s="3"/>
      <c r="C22" s="3"/>
    </row>
    <row r="23" spans="1:3">
      <c r="A23" s="9"/>
      <c r="B23" s="3"/>
      <c r="C23" s="3"/>
    </row>
    <row r="24" spans="1:3">
      <c r="A24" s="9"/>
      <c r="B24" s="3"/>
      <c r="C24" s="3"/>
    </row>
    <row r="25" spans="1:3">
      <c r="A25" s="9"/>
      <c r="B25" s="3"/>
      <c r="C25" s="3"/>
    </row>
    <row r="26" spans="1:3">
      <c r="A26" s="9"/>
      <c r="B26" s="3"/>
      <c r="C26" s="3"/>
    </row>
    <row r="27" spans="1:3">
      <c r="A27" s="9"/>
      <c r="B27" s="3"/>
      <c r="C27" s="3"/>
    </row>
    <row r="28" spans="1:3">
      <c r="A28" s="9"/>
      <c r="B28" s="3"/>
      <c r="C28" s="3"/>
    </row>
    <row r="29" spans="1:3">
      <c r="A29" s="9"/>
      <c r="B29" s="3"/>
      <c r="C29" s="3"/>
    </row>
    <row r="30" spans="1:3">
      <c r="A30" s="9"/>
      <c r="B30" s="3"/>
      <c r="C30" s="3"/>
    </row>
    <row r="31" spans="1:3">
      <c r="A31" s="9"/>
      <c r="B31" s="3"/>
      <c r="C31" s="3"/>
    </row>
    <row r="32" spans="1:3">
      <c r="A32" s="9"/>
      <c r="B32" s="3"/>
      <c r="C32" s="3"/>
    </row>
    <row r="33" spans="1:3">
      <c r="A33" s="9"/>
      <c r="B33" s="3"/>
      <c r="C33" s="3"/>
    </row>
    <row r="34" spans="1:3">
      <c r="A34" s="9"/>
      <c r="B34" s="3"/>
      <c r="C34" s="3"/>
    </row>
    <row r="35" spans="1:3">
      <c r="A35" s="9"/>
      <c r="B35" s="3"/>
      <c r="C35" s="3"/>
    </row>
    <row r="36" spans="1:3">
      <c r="A36" s="9"/>
      <c r="B36" s="3"/>
      <c r="C36" s="3"/>
    </row>
    <row r="37" spans="1:3">
      <c r="A37" s="9"/>
      <c r="B37" s="3"/>
      <c r="C37" s="3"/>
    </row>
    <row r="38" spans="1:3">
      <c r="A38" s="9"/>
      <c r="B38" s="3"/>
      <c r="C38" s="3"/>
    </row>
    <row r="39" spans="1:3">
      <c r="A39" s="9"/>
      <c r="B39" s="3"/>
      <c r="C39" s="3"/>
    </row>
    <row r="40" spans="1:3">
      <c r="A40" s="9"/>
      <c r="B40" s="3"/>
      <c r="C40" s="3"/>
    </row>
    <row r="41" spans="1:3">
      <c r="A41" s="9"/>
      <c r="B41" s="3"/>
      <c r="C41" s="3"/>
    </row>
    <row r="42" spans="1:3">
      <c r="A42" s="9"/>
      <c r="B42" s="3"/>
      <c r="C42" s="3"/>
    </row>
    <row r="43" spans="1:3">
      <c r="A43" s="9"/>
      <c r="B43" s="3"/>
      <c r="C43" s="3"/>
    </row>
    <row r="44" spans="1:3">
      <c r="A44" s="9"/>
      <c r="B44" s="3"/>
      <c r="C44" s="3"/>
    </row>
    <row r="45" spans="1:3">
      <c r="A45" s="9"/>
      <c r="B45" s="3"/>
      <c r="C45" s="3"/>
    </row>
    <row r="46" spans="1:3">
      <c r="A46" s="9"/>
      <c r="B46" s="3"/>
      <c r="C46" s="3"/>
    </row>
    <row r="47" spans="1:3">
      <c r="A47" s="9"/>
      <c r="B47" s="3"/>
      <c r="C47" s="3"/>
    </row>
    <row r="48" spans="1:3">
      <c r="A48" s="9"/>
      <c r="B48" s="3"/>
      <c r="C48" s="3"/>
    </row>
    <row r="49" spans="1:3">
      <c r="A49" s="9"/>
      <c r="B49" s="3"/>
      <c r="C49" s="3"/>
    </row>
    <row r="50" spans="1:3">
      <c r="A50" s="9"/>
      <c r="B50" s="3"/>
      <c r="C50" s="3"/>
    </row>
    <row r="51" spans="1:3">
      <c r="A51" s="9"/>
      <c r="B51" s="3"/>
      <c r="C51" s="3"/>
    </row>
    <row r="52" spans="1:3">
      <c r="A52" s="9"/>
      <c r="B52" s="3"/>
      <c r="C52" s="3"/>
    </row>
    <row r="53" spans="1:3">
      <c r="A53" s="9"/>
      <c r="B53" s="3"/>
      <c r="C53" s="3"/>
    </row>
    <row r="54" spans="1:3">
      <c r="A54" s="9"/>
      <c r="B54" s="3"/>
      <c r="C54" s="3"/>
    </row>
    <row r="55" spans="1:3">
      <c r="A55" s="9"/>
      <c r="B55" s="3"/>
      <c r="C55" s="3"/>
    </row>
    <row r="56" spans="1:3">
      <c r="A56" s="9"/>
      <c r="B56" s="3"/>
      <c r="C56" s="3"/>
    </row>
    <row r="57" spans="1:3">
      <c r="A57" s="9"/>
      <c r="B57" s="3"/>
      <c r="C57" s="3"/>
    </row>
    <row r="58" spans="1:3">
      <c r="A58" s="9"/>
      <c r="B58" s="3"/>
      <c r="C58" s="3"/>
    </row>
    <row r="59" spans="1:3">
      <c r="A59" s="9"/>
      <c r="B59" s="3"/>
      <c r="C59" s="3"/>
    </row>
    <row r="60" spans="1:3">
      <c r="A60" s="9"/>
      <c r="B60" s="3"/>
      <c r="C60" s="3"/>
    </row>
    <row r="61" spans="1:3">
      <c r="A61" s="9"/>
      <c r="B61" s="3"/>
      <c r="C61" s="3"/>
    </row>
    <row r="62" spans="1:3">
      <c r="B62" s="3"/>
      <c r="C62" s="3"/>
    </row>
    <row r="63" spans="1:3">
      <c r="B63" s="3"/>
      <c r="C63" s="3"/>
    </row>
    <row r="64" spans="1:3">
      <c r="B64" s="3"/>
      <c r="C64" s="3"/>
    </row>
    <row r="65" spans="2:3">
      <c r="B65" s="3"/>
      <c r="C65" s="3"/>
    </row>
    <row r="66" spans="2:3">
      <c r="B66" s="3"/>
      <c r="C66" s="3"/>
    </row>
    <row r="67" spans="2:3">
      <c r="B67" s="3"/>
      <c r="C67" s="3"/>
    </row>
    <row r="68" spans="2:3">
      <c r="B68" s="3"/>
      <c r="C68" s="3"/>
    </row>
    <row r="69" spans="2:3">
      <c r="C69" s="3"/>
    </row>
    <row r="70" spans="2:3">
      <c r="C70" s="3"/>
    </row>
    <row r="71" spans="2:3">
      <c r="C71" s="3"/>
    </row>
    <row r="72" spans="2:3">
      <c r="C72" s="3"/>
    </row>
  </sheetData>
  <printOptions horizontalCentered="1"/>
  <pageMargins left="0.25" right="0.25" top="0.25" bottom="0.6" header="0.19685039370078738" footer="0.59055118110236215"/>
  <pageSetup paperSize="9" scale="56" fitToHeight="3" orientation="portrait" horizontalDpi="300" verticalDpi="300" r:id="rId1"/>
  <headerFooter alignWithMargins="0">
    <oddFooter>&amp;L&amp;8Prepared at Bapna Agn.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8A2A3-345C-4ABA-A1F9-02A39D5381A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Title</vt:lpstr>
      <vt:lpstr>Work Order</vt:lpstr>
      <vt:lpstr>Bill Quantity</vt:lpstr>
      <vt:lpstr>Extra Items</vt:lpstr>
      <vt:lpstr>'Extra Items'!Print_Area</vt:lpstr>
      <vt:lpstr>'Extra Items'!Print_Titles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Singh Chauhan</dc:creator>
  <cp:lastModifiedBy>Rajkumar Singh Chauhan</cp:lastModifiedBy>
  <cp:lastPrinted>2026-03-12T06:16:03Z</cp:lastPrinted>
  <dcterms:created xsi:type="dcterms:W3CDTF">2025-01-28T09:52:28Z</dcterms:created>
  <dcterms:modified xsi:type="dcterms:W3CDTF">2026-03-12T06:17:44Z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{C5D8A2A3-345C-4ABA-A1F9-02A39D5381A2}</vt:lpwstr>
  </property>
</Properties>
</file>