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Rajkumar\BillGeneratorUnified\ATTACHED_ASSETS\"/>
    </mc:Choice>
  </mc:AlternateContent>
  <bookViews>
    <workbookView xWindow="0" yWindow="0" windowWidth="28800" windowHeight="12315" activeTab="1"/>
  </bookViews>
  <sheets>
    <sheet name="BABULAL 26 OF 26-26" sheetId="8" r:id="rId1"/>
    <sheet name="VIKAS 22 OF 23-24" sheetId="7" r:id="rId2"/>
    <sheet name="HindiText" sheetId="6" r:id="rId3"/>
  </sheets>
  <definedNames>
    <definedName name="_xlnm.Print_Area" localSheetId="0">'BABULAL 26 OF 26-26'!$A$1:$D$52</definedName>
    <definedName name="_xlnm.Print_Area" localSheetId="1">'VIKAS 22 OF 23-24'!$A$1:$D$48</definedName>
  </definedNames>
  <calcPr calcId="152511"/>
</workbook>
</file>

<file path=xl/calcChain.xml><?xml version="1.0" encoding="utf-8"?>
<calcChain xmlns="http://schemas.openxmlformats.org/spreadsheetml/2006/main">
  <c r="B36" i="8" l="1"/>
  <c r="B35" i="8"/>
  <c r="B34" i="8"/>
  <c r="B33" i="8"/>
  <c r="C20" i="8"/>
  <c r="C21" i="8" s="1"/>
  <c r="B36" i="7"/>
  <c r="B35" i="7"/>
  <c r="B34" i="7"/>
  <c r="B33" i="7"/>
  <c r="C20" i="7"/>
  <c r="C21" i="7" s="1"/>
  <c r="B38" i="8" l="1"/>
  <c r="B39" i="8" s="1"/>
  <c r="B38" i="7"/>
  <c r="B39" i="7" s="1"/>
</calcChain>
</file>

<file path=xl/sharedStrings.xml><?xml version="1.0" encoding="utf-8"?>
<sst xmlns="http://schemas.openxmlformats.org/spreadsheetml/2006/main" count="152" uniqueCount="87">
  <si>
    <t>8443-00-108-00-00</t>
  </si>
  <si>
    <t>Deposit</t>
  </si>
  <si>
    <t>-------------------</t>
  </si>
  <si>
    <t>(A) Is It a Repair / Maintenance Work</t>
  </si>
  <si>
    <t>Yes</t>
  </si>
  <si>
    <t>(B) Extra Item</t>
  </si>
  <si>
    <t>Amount of Extra Items Rs.</t>
  </si>
  <si>
    <t>(C) Any Excess Item</t>
  </si>
  <si>
    <t>(D) Any Inadvertent Delay in Bill Submission</t>
  </si>
  <si>
    <t>Deductions:-</t>
  </si>
  <si>
    <t>Total</t>
  </si>
  <si>
    <t>Rs.</t>
  </si>
  <si>
    <t>SD @ 10%</t>
  </si>
  <si>
    <t>IT @ 2%</t>
  </si>
  <si>
    <t>GST @ 2%</t>
  </si>
  <si>
    <t>LC @ 1%</t>
  </si>
  <si>
    <t>Dep-V</t>
  </si>
  <si>
    <t>Cheque/Amount</t>
  </si>
  <si>
    <t>19. Prorata Progress on the Work maintained by the Firm</t>
  </si>
  <si>
    <t>21. Date of Checking and % on the Checked By AEN</t>
  </si>
  <si>
    <t>22. No. Of selection item checked by the EE</t>
  </si>
  <si>
    <t>23. Other Inputs</t>
  </si>
  <si>
    <t>Adequate</t>
  </si>
  <si>
    <t>Evident from para 13 and 17 above.</t>
  </si>
  <si>
    <t>No</t>
  </si>
  <si>
    <t>1. Budget Head</t>
  </si>
  <si>
    <t>2. Agreement No.</t>
  </si>
  <si>
    <t>3. A&amp;F Sanction</t>
  </si>
  <si>
    <t>4. Technical Section</t>
  </si>
  <si>
    <t>5. MB No. &amp; Page</t>
  </si>
  <si>
    <t>6. Name of Sub Division</t>
  </si>
  <si>
    <t>7. Name of Work</t>
  </si>
  <si>
    <t>8. Name of Contractor</t>
  </si>
  <si>
    <t>9. Original/Deposit</t>
  </si>
  <si>
    <t>10. Budget Provision</t>
  </si>
  <si>
    <t>11. Date of Commencement</t>
  </si>
  <si>
    <t>12. Date of Completion</t>
  </si>
  <si>
    <t>13. Actual date of completion</t>
  </si>
  <si>
    <t>15. Whether  any notice issued</t>
  </si>
  <si>
    <t>16. Total  Amount of work order</t>
  </si>
  <si>
    <t>18. Balance to be done = (16 - 17 C)</t>
  </si>
  <si>
    <t>20. Date on Which record Measurement taken by JEN /AEN</t>
  </si>
  <si>
    <t>Refer Agreement</t>
  </si>
  <si>
    <t>62/2024-25</t>
  </si>
  <si>
    <t>Supply of Electrician for General Maintenance in Trauma Block &amp; near by Building Udaipur</t>
  </si>
  <si>
    <t>Udaipur</t>
  </si>
  <si>
    <t>813/Page No. 84-85</t>
  </si>
  <si>
    <t xml:space="preserve">M/s. Mitul Enterprises Udaipur
</t>
  </si>
  <si>
    <t>इस चरण में कार्य</t>
  </si>
  <si>
    <t>% संपादित हुआ है।</t>
  </si>
  <si>
    <t>कार्य प्रगति पर है।</t>
  </si>
  <si>
    <t>के अतिरिक्त आइटम सम्पादित किए गए हैं, जिसकी राशि वर्क आर्डर राशि की</t>
  </si>
  <si>
    <t>% होकर 5% से कम है। स्वीकृति इस कार्यालय के क्षेत्राधिकार में है।</t>
  </si>
  <si>
    <t>उपरोक्त विवरण के सन्दर्भ में समुचित निर्णय हेतु प्रस्तुत है।</t>
  </si>
  <si>
    <t>कार्य सम्पादन में केवल ₹</t>
  </si>
  <si>
    <t>% होकर 5% से अधिक है। स्वीकृति Superintending Engineer, Electric Circle कार्यालय के क्षेत्राधिकार में है।</t>
  </si>
  <si>
    <t xml:space="preserve"> कार्य</t>
  </si>
  <si>
    <t xml:space="preserve"> कार्य का वांछित डेविएशन स्टेटमेंट भी स्वीकृति हेतु प्राप्त हुआ है, जिसकी स्वीकृति इसी कार्यालय के क्षेत्राधिकार में निहित है।</t>
  </si>
  <si>
    <t xml:space="preserve"> कार्य का वांछित डेविएशन स्टेटमेंट भी स्वीकृति हेतु प्राप्त हुआ है, OVERALL EXCESS वर्क आर्डर राशि के 5% से अधिक है जिसकी स्वीकृति Superintending Engineer, Electric Circle कार्यालय के क्षेत्राधिकार में है।</t>
  </si>
  <si>
    <t xml:space="preserve"> कार्य में</t>
  </si>
  <si>
    <t xml:space="preserve"> दिन की देरी हुई है।</t>
  </si>
  <si>
    <t xml:space="preserve"> टाइम एक्सटेंशन केस Superintending Engineer, Electric Circle कार्यालय द्वारा अनुमोदित किया जाना है।</t>
  </si>
  <si>
    <t xml:space="preserve"> टाइम एक्सटेंशन केस इस कार्यालय द्वारा अनुमोदित किया जाना है।</t>
  </si>
  <si>
    <t xml:space="preserve"> कार्य सम्पादन में केवल Rs.</t>
  </si>
  <si>
    <t xml:space="preserve"> के अतिरिक्त आइटम सम्पादित किया गया है जिसकी राशि वर्क आर्डर राशि की</t>
  </si>
  <si>
    <t xml:space="preserve"> % होकर 5% से अधिक है जिसकी स्वीकृति Superintending Engineer, Electric Circle कार्यालय के क्षेत्राधिकार में है।</t>
  </si>
  <si>
    <t xml:space="preserve"> % होकर 5% से कम है जिसकी स्वीकृति इस कार्यालय के क्षेत्राधिकार में है।</t>
  </si>
  <si>
    <t xml:space="preserve"> कार्य संपादन में वर्क ऑर्डर के जिन आइटम्स में EXCESS QUANTITY संपादित की गई है, उनका विवरण संलग्न है। कार्य में saving है (अर्थात Overall Excess = NIL), जिसकी स्वीकृति इस कार्यालय के क्षेत्राधिकार में है।</t>
  </si>
  <si>
    <t xml:space="preserve"> कार्य संपादन में वर्क ऑर्डर के जिन आइटम्स में EXCESS QUANTITY संपादित की गई है, उनका विवरण संलग्न है। कार्य में overall excess = केवल</t>
  </si>
  <si>
    <t xml:space="preserve"> % होकर 5% से कम है, जिसकी स्वीकृति इस कार्यालय के क्षेत्राधिकार में है।</t>
  </si>
  <si>
    <t xml:space="preserve"> कार्य संपादन में वर्क ऑर्डर के जिन आइटम्स में EXCESS QUANTITY संपादित की गई है, उनका विवरण संलग्न है। कार्य में overall excess =</t>
  </si>
  <si>
    <t xml:space="preserve"> % होकर 5% से अधिक है, जिसकी स्वीकृति Superintending Engineer, Electric Circle कार्यालय के क्षेत्राधिकार में है।</t>
  </si>
  <si>
    <t xml:space="preserve"> गुणवत्ता नियंत्रण (Q.C.) परीक्षण रिपोर्ट संलग्न हैं।</t>
  </si>
  <si>
    <t xml:space="preserve"> हस्तांतरण विवरण Hand Over Statement संलग्न है।</t>
  </si>
  <si>
    <t xml:space="preserve"> कार्य समाप्ति के करीब 6 महीने बाद फाइनल बिल इस कार्यालय में प्रस्तुत किया गया है? इस अप्रत्याशित देरी के लिए सहायक अभियंता से स्पष्टीकरण मांगा जाए, ऐसी प्रस्तावना है।</t>
  </si>
  <si>
    <t xml:space="preserve"> उपरोक्त विवरण के सन्दर्भ में समुचित निर्णय हेतु प्रस्तुत है।</t>
  </si>
  <si>
    <t xml:space="preserve"> प्रतिशत संपादित हुआ </t>
  </si>
  <si>
    <t>है।</t>
  </si>
  <si>
    <t xml:space="preserve"> कार्य समय पर संपादित हुआ</t>
  </si>
  <si>
    <t xml:space="preserve"> कार्य का वांछित डेविएशन स्टेटमेंट भी स्वीकृति हेतु प्राप्त हुआ है, OVERALL EXCESS वर्क आर्डर राशि के 5% से कम है जिसकी स्वीकृति इसी कार्यालय के क्षेत्राधिकार में निहित</t>
  </si>
  <si>
    <t>14. In  case Delay  whether  provisional  extension given</t>
  </si>
  <si>
    <r>
      <t>10</t>
    </r>
    <r>
      <rPr>
        <b/>
        <vertAlign val="superscript"/>
        <sz val="12"/>
        <color theme="1"/>
        <rFont val="Mangal"/>
        <family val="1"/>
      </rPr>
      <t>th</t>
    </r>
    <r>
      <rPr>
        <b/>
        <sz val="12"/>
        <color theme="1"/>
        <rFont val="Mangal"/>
        <family val="1"/>
      </rPr>
      <t xml:space="preserve"> &amp; FINAL BILL SCRUTINY SHEET</t>
    </r>
  </si>
  <si>
    <t xml:space="preserve">  B. Amount of this bill</t>
  </si>
  <si>
    <t>17.A. Sum of payment up to last bill</t>
  </si>
  <si>
    <t xml:space="preserve">  C. Actual expenditure  up to this bill = ( A + B)</t>
  </si>
  <si>
    <r>
      <t xml:space="preserve">1. कार्य 77.76 प्रतिशत संपादित हुआ है।
2. जिसका डेविएशन स्टेटमेंट भी स्वीकृति हेतु प्राप्त हुआ है, जिसकी स्वीकृति इसी कार्यालय के क्षेत्राधिकार में निहित है।
3. कार्य समय पर संपादित हुआ है।
4. गुणवत्ता नियंत्रण (Q.C.) परीक्षण रिपोर्ट संलग्न हैं।
5. बिल समुचित निर्णय हेतु प्रस्तुत है।
                                        </t>
    </r>
    <r>
      <rPr>
        <b/>
        <sz val="12"/>
        <color theme="1"/>
        <rFont val="Mangal"/>
        <family val="1"/>
      </rPr>
      <t>प्रेमलता जैन, AAO</t>
    </r>
  </si>
  <si>
    <r>
      <t xml:space="preserve">1. कार्य 101.46 प्रतिशत संपादित हुआ है।
2. जिसका डेविएशन स्टेटमेंट भी स्वीकृति हेतु प्राप्त हुआ है, OVERALL EXCESS वर्क आर्डर राशि के 5% से कम है जिसकी स्वीकृति इसी कार्यालय के क्षेत्राधिकार में निहित है।
3. कार्य में 669 दिन की देरी हुई है।
4. टाइम एक्सटेंशन केस Superintending Engineer, PWD Electric Circle, Udaipur कार्यालय द्वारा अनुमोदित किया जाना है।
5. कार्य संपादन में वर्क आर्डर के जिन आइटम्स में EXCESS QUANTITY संपादित की गई है, उनका विवरण संलग्न है। कार्य में OVERALL EXCESS केवल 1.46% होकर 5% से कम है, जिसकी स्वीकृति इस कार्यालय के क्षेत्राधिकार में है।
6. गुणवत्ता नियंत्रण (Q.C.) परीक्षण रिपोर्ट संलग्न हैं।
7. हस्तांतरण विवरण Hand Over Statement संलग्न है।
8. कार्य समाप्ति के करीब 6 महीने बाद फाइनल बिल इस कार्यालय में प्रस्तुत किया गया है। इस अप्रत्याशित देरी के लिए सहायक अभियंता से स्पष्टीकरण मांगा जाए ऐसी प्रस्तावना है।
9. बिल समुचित निर्णय हेतु प्रस्तुत है।
                                        </t>
    </r>
    <r>
      <rPr>
        <b/>
        <sz val="12"/>
        <color theme="1"/>
        <rFont val="Mangal"/>
        <family val="1"/>
      </rPr>
      <t>प्रेमलता जैन, AAO</t>
    </r>
  </si>
</sst>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sz val="11"/>
      <color rgb="FF000000"/>
      <name val="Calibri"/>
      <family val="2"/>
    </font>
    <font>
      <sz val="11"/>
      <color theme="1"/>
      <name val="Mangal"/>
      <family val="1"/>
    </font>
    <font>
      <b/>
      <sz val="12"/>
      <color theme="1"/>
      <name val="Mangal"/>
      <family val="1"/>
    </font>
    <font>
      <sz val="12"/>
      <color theme="1"/>
      <name val="Mangal"/>
      <family val="1"/>
    </font>
    <font>
      <b/>
      <sz val="10"/>
      <color theme="1"/>
      <name val="Mangal"/>
      <family val="1"/>
    </font>
    <font>
      <sz val="10"/>
      <color theme="1"/>
      <name val="Mangal"/>
      <family val="1"/>
    </font>
    <font>
      <sz val="10"/>
      <color rgb="FF000000"/>
      <name val="Mangal"/>
      <family val="1"/>
    </font>
    <font>
      <b/>
      <sz val="10"/>
      <color rgb="FF000000"/>
      <name val="Mangal"/>
      <family val="1"/>
    </font>
    <font>
      <b/>
      <vertAlign val="superscript"/>
      <sz val="12"/>
      <color theme="1"/>
      <name val="Mangal"/>
      <family val="1"/>
    </font>
  </fonts>
  <fills count="2">
    <fill>
      <patternFill patternType="none"/>
    </fill>
    <fill>
      <patternFill patternType="gray125"/>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s>
  <cellStyleXfs count="1">
    <xf numFmtId="0" fontId="0" fillId="0" borderId="0"/>
  </cellStyleXfs>
  <cellXfs count="38">
    <xf numFmtId="0" fontId="0" fillId="0" borderId="0" xfId="0"/>
    <xf numFmtId="0" fontId="4" fillId="0" borderId="0" xfId="0" applyFont="1"/>
    <xf numFmtId="0" fontId="6" fillId="0" borderId="0" xfId="0" applyFont="1"/>
    <xf numFmtId="0" fontId="5" fillId="0" borderId="2" xfId="0" applyFont="1" applyFill="1" applyBorder="1" applyAlignment="1">
      <alignment horizontal="right" vertical="top" wrapText="1"/>
    </xf>
    <xf numFmtId="0" fontId="5" fillId="0" borderId="1" xfId="0" applyFont="1" applyFill="1" applyBorder="1" applyAlignment="1">
      <alignment vertical="top"/>
    </xf>
    <xf numFmtId="0" fontId="8" fillId="0" borderId="0" xfId="0" applyFont="1" applyFill="1" applyBorder="1" applyAlignment="1">
      <alignment vertical="top"/>
    </xf>
    <xf numFmtId="0" fontId="7" fillId="0" borderId="5" xfId="0" applyFont="1" applyFill="1" applyBorder="1" applyAlignment="1">
      <alignment horizontal="right" vertical="top"/>
    </xf>
    <xf numFmtId="0" fontId="8" fillId="0" borderId="1" xfId="0" applyFont="1" applyFill="1" applyBorder="1" applyAlignment="1">
      <alignment horizontal="left" vertical="top"/>
    </xf>
    <xf numFmtId="0" fontId="8" fillId="0" borderId="0" xfId="0" applyFont="1" applyFill="1" applyBorder="1" applyAlignment="1">
      <alignment horizontal="left" vertical="top"/>
    </xf>
    <xf numFmtId="0" fontId="6" fillId="0" borderId="0" xfId="0" applyFont="1" applyFill="1" applyBorder="1"/>
    <xf numFmtId="0" fontId="8" fillId="0" borderId="1" xfId="0" applyFont="1" applyFill="1" applyBorder="1" applyAlignment="1">
      <alignment horizontal="left" vertical="top" wrapText="1"/>
    </xf>
    <xf numFmtId="0" fontId="4" fillId="0" borderId="0" xfId="0" applyFont="1" applyAlignment="1">
      <alignment vertical="top"/>
    </xf>
    <xf numFmtId="0" fontId="4" fillId="0" borderId="0" xfId="0" applyFont="1" applyAlignment="1">
      <alignment vertical="top" wrapText="1"/>
    </xf>
    <xf numFmtId="49" fontId="2" fillId="0" borderId="0" xfId="0" applyNumberFormat="1" applyFont="1" applyAlignment="1">
      <alignment horizontal="left" vertical="top" wrapText="1"/>
    </xf>
    <xf numFmtId="0" fontId="0" fillId="0" borderId="0" xfId="0" applyAlignment="1">
      <alignment horizontal="left" vertical="top" wrapText="1"/>
    </xf>
    <xf numFmtId="0" fontId="5" fillId="0" borderId="2" xfId="0" applyFont="1" applyFill="1" applyBorder="1" applyAlignment="1">
      <alignment horizontal="right" vertical="top" wrapText="1"/>
    </xf>
    <xf numFmtId="0" fontId="5" fillId="0" borderId="3" xfId="0" applyFont="1" applyFill="1" applyBorder="1" applyAlignment="1">
      <alignment horizontal="right" vertical="top" wrapText="1"/>
    </xf>
    <xf numFmtId="1" fontId="6" fillId="0" borderId="1" xfId="0" quotePrefix="1" applyNumberFormat="1" applyFont="1" applyFill="1" applyBorder="1" applyAlignment="1">
      <alignment horizontal="left" vertical="top" wrapText="1"/>
    </xf>
    <xf numFmtId="1" fontId="6" fillId="0" borderId="3" xfId="0" applyNumberFormat="1" applyFont="1" applyFill="1" applyBorder="1"/>
    <xf numFmtId="0" fontId="5" fillId="0" borderId="2" xfId="0" quotePrefix="1" applyFont="1" applyFill="1" applyBorder="1" applyAlignment="1">
      <alignment horizontal="left" vertical="top" wrapText="1"/>
    </xf>
    <xf numFmtId="0" fontId="5" fillId="0" borderId="3" xfId="0" quotePrefix="1" applyFont="1" applyFill="1" applyBorder="1" applyAlignment="1">
      <alignment horizontal="left" vertical="top" wrapText="1"/>
    </xf>
    <xf numFmtId="0" fontId="6" fillId="0" borderId="1" xfId="0" quotePrefix="1" applyFont="1" applyFill="1" applyBorder="1" applyAlignment="1">
      <alignment horizontal="left" vertical="top" wrapText="1"/>
    </xf>
    <xf numFmtId="0" fontId="6" fillId="0" borderId="3" xfId="0" applyFont="1" applyFill="1" applyBorder="1"/>
    <xf numFmtId="0" fontId="5" fillId="0" borderId="2" xfId="0" applyFont="1" applyFill="1" applyBorder="1" applyAlignment="1">
      <alignment horizontal="left" vertical="top" wrapText="1"/>
    </xf>
    <xf numFmtId="0" fontId="5" fillId="0" borderId="3" xfId="0" applyFont="1" applyFill="1" applyBorder="1" applyAlignment="1">
      <alignment horizontal="left" vertical="top" wrapText="1"/>
    </xf>
    <xf numFmtId="14" fontId="6" fillId="0" borderId="1" xfId="0" applyNumberFormat="1" applyFont="1" applyFill="1" applyBorder="1" applyAlignment="1">
      <alignment horizontal="left" vertical="top" wrapText="1"/>
    </xf>
    <xf numFmtId="0" fontId="6" fillId="0" borderId="1" xfId="0" applyFont="1" applyFill="1" applyBorder="1" applyAlignment="1">
      <alignment horizontal="left" vertical="top" wrapText="1"/>
    </xf>
    <xf numFmtId="0" fontId="5" fillId="0" borderId="2" xfId="0" applyFont="1" applyFill="1" applyBorder="1" applyAlignment="1">
      <alignment vertical="top"/>
    </xf>
    <xf numFmtId="0" fontId="5" fillId="0" borderId="3" xfId="0" applyFont="1" applyFill="1" applyBorder="1" applyAlignment="1">
      <alignment vertical="top"/>
    </xf>
    <xf numFmtId="0" fontId="7" fillId="0" borderId="4" xfId="0" applyFont="1" applyFill="1" applyBorder="1" applyAlignment="1">
      <alignment horizontal="left" vertical="top"/>
    </xf>
    <xf numFmtId="0" fontId="5" fillId="0" borderId="1" xfId="0" applyFont="1" applyFill="1" applyBorder="1" applyAlignment="1">
      <alignment horizontal="left" vertical="top" wrapText="1"/>
    </xf>
    <xf numFmtId="0" fontId="5" fillId="0" borderId="3" xfId="0" applyFont="1" applyFill="1" applyBorder="1"/>
    <xf numFmtId="0" fontId="5" fillId="0" borderId="2" xfId="0" applyFont="1" applyFill="1" applyBorder="1" applyAlignment="1">
      <alignment vertical="top" wrapText="1"/>
    </xf>
    <xf numFmtId="0" fontId="5" fillId="0" borderId="3" xfId="0" applyFont="1" applyFill="1" applyBorder="1" applyAlignment="1">
      <alignment vertical="top" wrapText="1"/>
    </xf>
    <xf numFmtId="0" fontId="6" fillId="0" borderId="3" xfId="0" applyFont="1" applyFill="1" applyBorder="1" applyAlignment="1">
      <alignment vertical="top" wrapText="1"/>
    </xf>
    <xf numFmtId="0" fontId="3" fillId="0" borderId="0" xfId="0" applyFont="1" applyFill="1" applyAlignment="1">
      <alignment horizontal="center" vertical="top" wrapText="1"/>
    </xf>
    <xf numFmtId="0" fontId="4" fillId="0" borderId="0" xfId="0" applyFont="1" applyFill="1" applyAlignment="1">
      <alignment vertical="top" wrapText="1"/>
    </xf>
    <xf numFmtId="0" fontId="4" fillId="0"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activeX/activeX4.xml><?xml version="1.0" encoding="utf-8"?>
<ax:ocx xmlns:ax="http://schemas.microsoft.com/office/2006/activeX" xmlns:r="http://schemas.openxmlformats.org/officeDocument/2006/relationships" ax:classid="{DFD181E0-5E2F-11CE-A449-00AA004A803D}" ax:persistence="persistStreamInit" r:id="rId1"/>
</file>

<file path=xl/activeX/activeX5.xml><?xml version="1.0" encoding="utf-8"?>
<ax:ocx xmlns:ax="http://schemas.microsoft.com/office/2006/activeX" xmlns:r="http://schemas.openxmlformats.org/officeDocument/2006/relationships" ax:classid="{DFD181E0-5E2F-11CE-A449-00AA004A803D}" ax:persistence="persistStreamInit" r:id="rId1"/>
</file>

<file path=xl/activeX/activeX6.xml><?xml version="1.0" encoding="utf-8"?>
<ax:ocx xmlns:ax="http://schemas.microsoft.com/office/2006/activeX" xmlns:r="http://schemas.openxmlformats.org/officeDocument/2006/relationships" ax:classid="{DFD181E0-5E2F-11CE-A449-00AA004A803D}" ax:persistence="persistStreamInit" r:id="rId1"/>
</file>

<file path=xl/activeX/activeX7.xml><?xml version="1.0" encoding="utf-8"?>
<ax:ocx xmlns:ax="http://schemas.microsoft.com/office/2006/activeX" xmlns:r="http://schemas.openxmlformats.org/officeDocument/2006/relationships" ax:classid="{DFD181E0-5E2F-11CE-A449-00AA004A803D}" ax:persistence="persistStreamInit" r:id="rId1"/>
</file>

<file path=xl/activeX/activeX8.xml><?xml version="1.0" encoding="utf-8"?>
<ax:ocx xmlns:ax="http://schemas.microsoft.com/office/2006/activeX" xmlns:r="http://schemas.openxmlformats.org/officeDocument/2006/relationships" ax:classid="{DFD181E0-5E2F-11CE-A449-00AA004A803D}" ax:persistence="persistStreamInit" r:id="rId1"/>
</file>

<file path=xl/activeX/activeX9.xml><?xml version="1.0" encoding="utf-8"?>
<ax:ocx xmlns:ax="http://schemas.microsoft.com/office/2006/activeX" xmlns:r="http://schemas.openxmlformats.org/officeDocument/2006/relationships" ax:classid="{DFD181E0-5E2F-11CE-A449-00AA004A803D}" ax:persistence="persistStreamInit" r:id="rId1"/>
</file>

<file path=xl/activeX/activeX10.xml><?xml version="1.0" encoding="utf-8"?>
<ax:ocx xmlns:ax="http://schemas.microsoft.com/office/2006/activeX" xmlns:r="http://schemas.openxmlformats.org/officeDocument/2006/relationships" ax:classid="{DFD181E0-5E2F-11CE-A449-00AA004A803D}" ax:persistence="persistStreamInit" r:id="rId1"/>
</file>

<file path=xl/activeX/activeX11.xml><?xml version="1.0" encoding="utf-8"?>
<ax:ocx xmlns:ax="http://schemas.microsoft.com/office/2006/activeX" xmlns:r="http://schemas.openxmlformats.org/officeDocument/2006/relationships" ax:classid="{DFD181E0-5E2F-11CE-A449-00AA004A803D}" ax:persistence="persistStreamInit" r:id="rId1"/>
</file>

<file path=xl/activeX/activeX12.xml><?xml version="1.0" encoding="utf-8"?>
<ax:ocx xmlns:ax="http://schemas.microsoft.com/office/2006/activeX" xmlns:r="http://schemas.openxmlformats.org/officeDocument/2006/relationships" ax:classid="{DFD181E0-5E2F-11CE-A449-00AA004A803D}"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35</xdr:row>
          <xdr:rowOff>352425</xdr:rowOff>
        </xdr:from>
        <xdr:to>
          <xdr:col>5</xdr:col>
          <xdr:colOff>19050</xdr:colOff>
          <xdr:row>36</xdr:row>
          <xdr:rowOff>342900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13</xdr:row>
          <xdr:rowOff>219075</xdr:rowOff>
        </xdr:from>
        <xdr:to>
          <xdr:col>3</xdr:col>
          <xdr:colOff>2295525</xdr:colOff>
          <xdr:row>14</xdr:row>
          <xdr:rowOff>219075</xdr:rowOff>
        </xdr:to>
        <xdr:sp macro="" textlink="">
          <xdr:nvSpPr>
            <xdr:cNvPr id="11266" name="ScrollBar1" hidden="1">
              <a:extLst>
                <a:ext uri="{63B3BB69-23CF-44E3-9099-C40C66FF867C}">
                  <a14:compatExt spid="_x0000_s11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438150</xdr:colOff>
          <xdr:row>15</xdr:row>
          <xdr:rowOff>9525</xdr:rowOff>
        </xdr:from>
        <xdr:to>
          <xdr:col>3</xdr:col>
          <xdr:colOff>2324100</xdr:colOff>
          <xdr:row>16</xdr:row>
          <xdr:rowOff>9525</xdr:rowOff>
        </xdr:to>
        <xdr:sp macro="" textlink="">
          <xdr:nvSpPr>
            <xdr:cNvPr id="11267" name="ScrollBar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438150</xdr:colOff>
          <xdr:row>26</xdr:row>
          <xdr:rowOff>0</xdr:rowOff>
        </xdr:from>
        <xdr:to>
          <xdr:col>3</xdr:col>
          <xdr:colOff>2324100</xdr:colOff>
          <xdr:row>27</xdr:row>
          <xdr:rowOff>0</xdr:rowOff>
        </xdr:to>
        <xdr:sp macro="" textlink="">
          <xdr:nvSpPr>
            <xdr:cNvPr id="11268" name="ScrollBar3"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447675</xdr:colOff>
          <xdr:row>27</xdr:row>
          <xdr:rowOff>19050</xdr:rowOff>
        </xdr:from>
        <xdr:to>
          <xdr:col>3</xdr:col>
          <xdr:colOff>2333625</xdr:colOff>
          <xdr:row>28</xdr:row>
          <xdr:rowOff>19050</xdr:rowOff>
        </xdr:to>
        <xdr:sp macro="" textlink="">
          <xdr:nvSpPr>
            <xdr:cNvPr id="11269" name="ScrollBar4"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438150</xdr:colOff>
          <xdr:row>28</xdr:row>
          <xdr:rowOff>228600</xdr:rowOff>
        </xdr:from>
        <xdr:to>
          <xdr:col>3</xdr:col>
          <xdr:colOff>2324100</xdr:colOff>
          <xdr:row>29</xdr:row>
          <xdr:rowOff>228600</xdr:rowOff>
        </xdr:to>
        <xdr:sp macro="" textlink="">
          <xdr:nvSpPr>
            <xdr:cNvPr id="11270" name="ScrollBar5"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30</xdr:row>
          <xdr:rowOff>19050</xdr:rowOff>
        </xdr:from>
        <xdr:to>
          <xdr:col>3</xdr:col>
          <xdr:colOff>2314575</xdr:colOff>
          <xdr:row>31</xdr:row>
          <xdr:rowOff>19050</xdr:rowOff>
        </xdr:to>
        <xdr:sp macro="" textlink="">
          <xdr:nvSpPr>
            <xdr:cNvPr id="11271" name="ScrollBar6"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35</xdr:row>
          <xdr:rowOff>352425</xdr:rowOff>
        </xdr:from>
        <xdr:to>
          <xdr:col>5</xdr:col>
          <xdr:colOff>19050</xdr:colOff>
          <xdr:row>36</xdr:row>
          <xdr:rowOff>342900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13</xdr:row>
          <xdr:rowOff>219075</xdr:rowOff>
        </xdr:from>
        <xdr:to>
          <xdr:col>3</xdr:col>
          <xdr:colOff>2295525</xdr:colOff>
          <xdr:row>14</xdr:row>
          <xdr:rowOff>219075</xdr:rowOff>
        </xdr:to>
        <xdr:sp macro="" textlink="">
          <xdr:nvSpPr>
            <xdr:cNvPr id="10242" name="ScrollBar1"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438150</xdr:colOff>
          <xdr:row>15</xdr:row>
          <xdr:rowOff>9525</xdr:rowOff>
        </xdr:from>
        <xdr:to>
          <xdr:col>3</xdr:col>
          <xdr:colOff>2324100</xdr:colOff>
          <xdr:row>16</xdr:row>
          <xdr:rowOff>9525</xdr:rowOff>
        </xdr:to>
        <xdr:sp macro="" textlink="">
          <xdr:nvSpPr>
            <xdr:cNvPr id="10243" name="ScrollBar2" hidden="1">
              <a:extLst>
                <a:ext uri="{63B3BB69-23CF-44E3-9099-C40C66FF867C}">
                  <a14:compatExt spid="_x0000_s10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438150</xdr:colOff>
          <xdr:row>26</xdr:row>
          <xdr:rowOff>0</xdr:rowOff>
        </xdr:from>
        <xdr:to>
          <xdr:col>3</xdr:col>
          <xdr:colOff>2324100</xdr:colOff>
          <xdr:row>27</xdr:row>
          <xdr:rowOff>0</xdr:rowOff>
        </xdr:to>
        <xdr:sp macro="" textlink="">
          <xdr:nvSpPr>
            <xdr:cNvPr id="10244" name="ScrollBar3" hidden="1">
              <a:extLst>
                <a:ext uri="{63B3BB69-23CF-44E3-9099-C40C66FF867C}">
                  <a14:compatExt spid="_x0000_s10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447675</xdr:colOff>
          <xdr:row>27</xdr:row>
          <xdr:rowOff>19050</xdr:rowOff>
        </xdr:from>
        <xdr:to>
          <xdr:col>3</xdr:col>
          <xdr:colOff>2333625</xdr:colOff>
          <xdr:row>28</xdr:row>
          <xdr:rowOff>19050</xdr:rowOff>
        </xdr:to>
        <xdr:sp macro="" textlink="">
          <xdr:nvSpPr>
            <xdr:cNvPr id="10245" name="ScrollBar4"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438150</xdr:colOff>
          <xdr:row>28</xdr:row>
          <xdr:rowOff>228600</xdr:rowOff>
        </xdr:from>
        <xdr:to>
          <xdr:col>3</xdr:col>
          <xdr:colOff>2324100</xdr:colOff>
          <xdr:row>29</xdr:row>
          <xdr:rowOff>228600</xdr:rowOff>
        </xdr:to>
        <xdr:sp macro="" textlink="">
          <xdr:nvSpPr>
            <xdr:cNvPr id="10246" name="ScrollBar5" hidden="1">
              <a:extLst>
                <a:ext uri="{63B3BB69-23CF-44E3-9099-C40C66FF867C}">
                  <a14:compatExt spid="_x0000_s10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30</xdr:row>
          <xdr:rowOff>19050</xdr:rowOff>
        </xdr:from>
        <xdr:to>
          <xdr:col>3</xdr:col>
          <xdr:colOff>2314575</xdr:colOff>
          <xdr:row>31</xdr:row>
          <xdr:rowOff>19050</xdr:rowOff>
        </xdr:to>
        <xdr:sp macro="" textlink="">
          <xdr:nvSpPr>
            <xdr:cNvPr id="10247" name="ScrollBar6" hidden="1">
              <a:extLst>
                <a:ext uri="{63B3BB69-23CF-44E3-9099-C40C66FF867C}">
                  <a14:compatExt spid="_x0000_s10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6.xml"/><Relationship Id="rId5" Type="http://schemas.openxmlformats.org/officeDocument/2006/relationships/image" Target="../media/image1.emf"/><Relationship Id="rId10" Type="http://schemas.openxmlformats.org/officeDocument/2006/relationships/control" Target="../activeX/activeX5.xml"/><Relationship Id="rId4" Type="http://schemas.openxmlformats.org/officeDocument/2006/relationships/control" Target="../activeX/activeX1.xml"/><Relationship Id="rId9" Type="http://schemas.openxmlformats.org/officeDocument/2006/relationships/image" Target="../media/image2.emf"/></Relationships>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2.vml"/><Relationship Id="rId7" Type="http://schemas.openxmlformats.org/officeDocument/2006/relationships/control" Target="../activeX/activeX9.xml"/><Relationship Id="rId12" Type="http://schemas.openxmlformats.org/officeDocument/2006/relationships/ctrlProp" Target="../ctrlProps/ctrlProp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D60"/>
  <sheetViews>
    <sheetView view="pageBreakPreview" topLeftCell="A28" zoomScaleNormal="100" zoomScaleSheetLayoutView="100" workbookViewId="0">
      <selection activeCell="G42" sqref="G42"/>
    </sheetView>
  </sheetViews>
  <sheetFormatPr defaultColWidth="9.140625" defaultRowHeight="24.95" customHeight="1" x14ac:dyDescent="0.7"/>
  <cols>
    <col min="1" max="1" width="14.42578125" style="11" bestFit="1" customWidth="1"/>
    <col min="2" max="2" width="35.7109375" style="12" customWidth="1"/>
    <col min="3" max="3" width="35.7109375" style="1" customWidth="1"/>
    <col min="4" max="4" width="50.7109375" style="12" customWidth="1"/>
    <col min="5" max="5" width="9.140625" style="1" customWidth="1"/>
    <col min="6" max="16384" width="9.140625" style="1"/>
  </cols>
  <sheetData>
    <row r="1" spans="1:4" ht="23.1" customHeight="1" x14ac:dyDescent="0.7">
      <c r="A1" s="35" t="s">
        <v>81</v>
      </c>
      <c r="B1" s="36"/>
      <c r="C1" s="37"/>
      <c r="D1" s="36"/>
    </row>
    <row r="2" spans="1:4" s="2" customFormat="1" ht="18.95" customHeight="1" x14ac:dyDescent="0.55000000000000004">
      <c r="A2" s="27" t="s">
        <v>25</v>
      </c>
      <c r="B2" s="28"/>
      <c r="C2" s="26" t="s">
        <v>0</v>
      </c>
      <c r="D2" s="22"/>
    </row>
    <row r="3" spans="1:4" s="2" customFormat="1" ht="18.95" customHeight="1" x14ac:dyDescent="0.55000000000000004">
      <c r="A3" s="27" t="s">
        <v>26</v>
      </c>
      <c r="B3" s="28"/>
      <c r="C3" s="26" t="s">
        <v>43</v>
      </c>
      <c r="D3" s="22"/>
    </row>
    <row r="4" spans="1:4" s="2" customFormat="1" ht="18.95" customHeight="1" x14ac:dyDescent="0.55000000000000004">
      <c r="A4" s="27" t="s">
        <v>27</v>
      </c>
      <c r="B4" s="28"/>
      <c r="C4" s="26" t="s">
        <v>42</v>
      </c>
      <c r="D4" s="22"/>
    </row>
    <row r="5" spans="1:4" s="2" customFormat="1" ht="18.95" customHeight="1" x14ac:dyDescent="0.55000000000000004">
      <c r="A5" s="27" t="s">
        <v>28</v>
      </c>
      <c r="B5" s="28"/>
      <c r="C5" s="26" t="s">
        <v>42</v>
      </c>
      <c r="D5" s="22"/>
    </row>
    <row r="6" spans="1:4" s="2" customFormat="1" ht="18.95" customHeight="1" x14ac:dyDescent="0.55000000000000004">
      <c r="A6" s="27" t="s">
        <v>29</v>
      </c>
      <c r="B6" s="28"/>
      <c r="C6" s="26" t="s">
        <v>46</v>
      </c>
      <c r="D6" s="22"/>
    </row>
    <row r="7" spans="1:4" s="2" customFormat="1" ht="18.95" customHeight="1" x14ac:dyDescent="0.55000000000000004">
      <c r="A7" s="27" t="s">
        <v>30</v>
      </c>
      <c r="B7" s="28"/>
      <c r="C7" s="26" t="s">
        <v>45</v>
      </c>
      <c r="D7" s="22"/>
    </row>
    <row r="8" spans="1:4" s="2" customFormat="1" ht="36.75" customHeight="1" x14ac:dyDescent="0.55000000000000004">
      <c r="A8" s="27" t="s">
        <v>31</v>
      </c>
      <c r="B8" s="28"/>
      <c r="C8" s="26" t="s">
        <v>44</v>
      </c>
      <c r="D8" s="34"/>
    </row>
    <row r="9" spans="1:4" s="2" customFormat="1" ht="18.95" customHeight="1" x14ac:dyDescent="0.55000000000000004">
      <c r="A9" s="27" t="s">
        <v>32</v>
      </c>
      <c r="B9" s="28"/>
      <c r="C9" s="26" t="s">
        <v>47</v>
      </c>
      <c r="D9" s="22"/>
    </row>
    <row r="10" spans="1:4" s="2" customFormat="1" ht="18.95" customHeight="1" x14ac:dyDescent="0.55000000000000004">
      <c r="A10" s="27" t="s">
        <v>33</v>
      </c>
      <c r="B10" s="28"/>
      <c r="C10" s="26" t="s">
        <v>1</v>
      </c>
      <c r="D10" s="22"/>
    </row>
    <row r="11" spans="1:4" s="2" customFormat="1" ht="18.95" customHeight="1" x14ac:dyDescent="0.55000000000000004">
      <c r="A11" s="27" t="s">
        <v>34</v>
      </c>
      <c r="B11" s="28"/>
      <c r="C11" s="29" t="s">
        <v>22</v>
      </c>
      <c r="D11" s="29"/>
    </row>
    <row r="12" spans="1:4" s="2" customFormat="1" ht="18.95" customHeight="1" x14ac:dyDescent="0.55000000000000004">
      <c r="A12" s="27" t="s">
        <v>35</v>
      </c>
      <c r="B12" s="28"/>
      <c r="C12" s="25">
        <v>45689</v>
      </c>
      <c r="D12" s="22"/>
    </row>
    <row r="13" spans="1:4" s="2" customFormat="1" ht="18.95" customHeight="1" x14ac:dyDescent="0.55000000000000004">
      <c r="A13" s="27" t="s">
        <v>36</v>
      </c>
      <c r="B13" s="28"/>
      <c r="C13" s="25">
        <v>46053</v>
      </c>
      <c r="D13" s="22"/>
    </row>
    <row r="14" spans="1:4" s="2" customFormat="1" ht="18.95" customHeight="1" x14ac:dyDescent="0.55000000000000004">
      <c r="A14" s="27" t="s">
        <v>37</v>
      </c>
      <c r="B14" s="28"/>
      <c r="C14" s="25">
        <v>46722</v>
      </c>
      <c r="D14" s="22"/>
    </row>
    <row r="15" spans="1:4" s="2" customFormat="1" ht="18.95" customHeight="1" x14ac:dyDescent="0.55000000000000004">
      <c r="A15" s="32" t="s">
        <v>80</v>
      </c>
      <c r="B15" s="33"/>
      <c r="C15" s="21" t="s">
        <v>24</v>
      </c>
      <c r="D15" s="22"/>
    </row>
    <row r="16" spans="1:4" s="2" customFormat="1" ht="18.95" customHeight="1" x14ac:dyDescent="0.55000000000000004">
      <c r="A16" s="27" t="s">
        <v>38</v>
      </c>
      <c r="B16" s="28"/>
      <c r="C16" s="21" t="s">
        <v>24</v>
      </c>
      <c r="D16" s="22"/>
    </row>
    <row r="17" spans="1:4" s="2" customFormat="1" ht="18.95" customHeight="1" x14ac:dyDescent="0.55000000000000004">
      <c r="A17" s="27" t="s">
        <v>39</v>
      </c>
      <c r="B17" s="28"/>
      <c r="C17" s="26">
        <v>125525</v>
      </c>
      <c r="D17" s="22"/>
    </row>
    <row r="18" spans="1:4" s="2" customFormat="1" ht="18.95" customHeight="1" x14ac:dyDescent="0.55000000000000004">
      <c r="A18" s="27" t="s">
        <v>83</v>
      </c>
      <c r="B18" s="28"/>
      <c r="C18" s="26">
        <v>12356</v>
      </c>
      <c r="D18" s="22"/>
    </row>
    <row r="19" spans="1:4" s="2" customFormat="1" ht="18.95" customHeight="1" x14ac:dyDescent="0.55000000000000004">
      <c r="A19" s="27" t="s">
        <v>82</v>
      </c>
      <c r="B19" s="28"/>
      <c r="C19" s="30">
        <v>115000</v>
      </c>
      <c r="D19" s="31"/>
    </row>
    <row r="20" spans="1:4" s="2" customFormat="1" ht="18.95" customHeight="1" x14ac:dyDescent="0.55000000000000004">
      <c r="A20" s="27" t="s">
        <v>84</v>
      </c>
      <c r="B20" s="28"/>
      <c r="C20" s="23">
        <f>C18+C19</f>
        <v>127356</v>
      </c>
      <c r="D20" s="24"/>
    </row>
    <row r="21" spans="1:4" s="2" customFormat="1" ht="18.95" customHeight="1" x14ac:dyDescent="0.55000000000000004">
      <c r="A21" s="27" t="s">
        <v>40</v>
      </c>
      <c r="B21" s="28"/>
      <c r="C21" s="26">
        <f>C17-C20</f>
        <v>-1831</v>
      </c>
      <c r="D21" s="22"/>
    </row>
    <row r="22" spans="1:4" s="2" customFormat="1" ht="18.95" customHeight="1" x14ac:dyDescent="0.55000000000000004">
      <c r="A22" s="23" t="s">
        <v>18</v>
      </c>
      <c r="B22" s="24"/>
      <c r="C22" s="29" t="s">
        <v>23</v>
      </c>
      <c r="D22" s="29"/>
    </row>
    <row r="23" spans="1:4" s="2" customFormat="1" ht="18.95" customHeight="1" x14ac:dyDescent="0.55000000000000004">
      <c r="A23" s="23" t="s">
        <v>41</v>
      </c>
      <c r="B23" s="24"/>
      <c r="C23" s="25">
        <v>45992</v>
      </c>
      <c r="D23" s="22"/>
    </row>
    <row r="24" spans="1:4" s="2" customFormat="1" ht="18.95" customHeight="1" x14ac:dyDescent="0.55000000000000004">
      <c r="A24" s="23" t="s">
        <v>19</v>
      </c>
      <c r="B24" s="24"/>
      <c r="C24" s="26"/>
      <c r="D24" s="22"/>
    </row>
    <row r="25" spans="1:4" s="2" customFormat="1" ht="18.95" customHeight="1" x14ac:dyDescent="0.55000000000000004">
      <c r="A25" s="23" t="s">
        <v>20</v>
      </c>
      <c r="B25" s="24"/>
      <c r="C25" s="21" t="s">
        <v>2</v>
      </c>
      <c r="D25" s="22"/>
    </row>
    <row r="26" spans="1:4" s="2" customFormat="1" ht="18.95" customHeight="1" x14ac:dyDescent="0.55000000000000004">
      <c r="A26" s="23" t="s">
        <v>21</v>
      </c>
      <c r="B26" s="24"/>
      <c r="C26" s="21" t="s">
        <v>2</v>
      </c>
      <c r="D26" s="22"/>
    </row>
    <row r="27" spans="1:4" s="2" customFormat="1" ht="18.95" customHeight="1" x14ac:dyDescent="0.55000000000000004">
      <c r="A27" s="23" t="s">
        <v>3</v>
      </c>
      <c r="B27" s="24"/>
      <c r="C27" s="21" t="s">
        <v>24</v>
      </c>
      <c r="D27" s="22"/>
    </row>
    <row r="28" spans="1:4" s="2" customFormat="1" ht="18.95" customHeight="1" x14ac:dyDescent="0.55000000000000004">
      <c r="A28" s="23" t="s">
        <v>5</v>
      </c>
      <c r="B28" s="24"/>
      <c r="C28" s="21" t="s">
        <v>4</v>
      </c>
      <c r="D28" s="22"/>
    </row>
    <row r="29" spans="1:4" s="2" customFormat="1" ht="18.95" customHeight="1" x14ac:dyDescent="0.55000000000000004">
      <c r="A29" s="15" t="s">
        <v>6</v>
      </c>
      <c r="B29" s="16"/>
      <c r="C29" s="17">
        <v>12566</v>
      </c>
      <c r="D29" s="18"/>
    </row>
    <row r="30" spans="1:4" s="2" customFormat="1" ht="18.95" customHeight="1" x14ac:dyDescent="0.55000000000000004">
      <c r="A30" s="19" t="s">
        <v>7</v>
      </c>
      <c r="B30" s="20"/>
      <c r="C30" s="21" t="s">
        <v>4</v>
      </c>
      <c r="D30" s="22"/>
    </row>
    <row r="31" spans="1:4" s="2" customFormat="1" ht="18.95" customHeight="1" x14ac:dyDescent="0.55000000000000004">
      <c r="A31" s="19" t="s">
        <v>8</v>
      </c>
      <c r="B31" s="20"/>
      <c r="C31" s="21" t="s">
        <v>4</v>
      </c>
      <c r="D31" s="21"/>
    </row>
    <row r="32" spans="1:4" s="2" customFormat="1" ht="18.95" customHeight="1" x14ac:dyDescent="0.55000000000000004">
      <c r="A32" s="3" t="s">
        <v>9</v>
      </c>
      <c r="B32" s="4" t="s">
        <v>11</v>
      </c>
      <c r="C32" s="5"/>
      <c r="D32" s="5"/>
    </row>
    <row r="33" spans="1:4" s="2" customFormat="1" ht="18.95" customHeight="1" x14ac:dyDescent="0.55000000000000004">
      <c r="A33" s="6" t="s">
        <v>12</v>
      </c>
      <c r="B33" s="7">
        <f>ROUND($C$19*0.1,0)</f>
        <v>11500</v>
      </c>
      <c r="C33" s="8"/>
      <c r="D33" s="9"/>
    </row>
    <row r="34" spans="1:4" s="2" customFormat="1" ht="18.95" customHeight="1" x14ac:dyDescent="0.55000000000000004">
      <c r="A34" s="6" t="s">
        <v>13</v>
      </c>
      <c r="B34" s="7">
        <f>ROUND($C$19*0.02,0)</f>
        <v>2300</v>
      </c>
      <c r="C34" s="8"/>
      <c r="D34" s="9"/>
    </row>
    <row r="35" spans="1:4" s="2" customFormat="1" ht="18.95" customHeight="1" x14ac:dyDescent="0.55000000000000004">
      <c r="A35" s="6" t="s">
        <v>14</v>
      </c>
      <c r="B35" s="10">
        <f>IF(MOD(ROUND($C$19*0.02,0),2)=0,
     ROUND($C$19*0.02,0),
     ROUND($C$19*0.02,0)+1)</f>
        <v>2300</v>
      </c>
      <c r="C35" s="8"/>
      <c r="D35" s="9"/>
    </row>
    <row r="36" spans="1:4" s="2" customFormat="1" ht="18.95" customHeight="1" x14ac:dyDescent="0.55000000000000004">
      <c r="A36" s="6" t="s">
        <v>15</v>
      </c>
      <c r="B36" s="7">
        <f>ROUND($C$19*0.01,0)</f>
        <v>1150</v>
      </c>
      <c r="C36" s="8"/>
      <c r="D36" s="9"/>
    </row>
    <row r="37" spans="1:4" s="2" customFormat="1" ht="18.95" customHeight="1" x14ac:dyDescent="0.55000000000000004">
      <c r="A37" s="6" t="s">
        <v>16</v>
      </c>
      <c r="B37" s="7">
        <v>0</v>
      </c>
      <c r="C37" s="8"/>
      <c r="D37" s="9"/>
    </row>
    <row r="38" spans="1:4" s="2" customFormat="1" ht="18.95" customHeight="1" x14ac:dyDescent="0.55000000000000004">
      <c r="A38" s="6" t="s">
        <v>17</v>
      </c>
      <c r="B38" s="7">
        <f>C19-SUM(B33:B37)</f>
        <v>97750</v>
      </c>
      <c r="C38" s="8"/>
      <c r="D38" s="9"/>
    </row>
    <row r="39" spans="1:4" s="2" customFormat="1" ht="18.95" customHeight="1" x14ac:dyDescent="0.55000000000000004">
      <c r="A39" s="6" t="s">
        <v>10</v>
      </c>
      <c r="B39" s="7">
        <f>SUM(B33:C38)</f>
        <v>115000</v>
      </c>
      <c r="C39" s="8"/>
      <c r="D39" s="9"/>
    </row>
    <row r="40" spans="1:4" ht="26.25" x14ac:dyDescent="0.7">
      <c r="A40" s="13" t="s">
        <v>86</v>
      </c>
      <c r="B40" s="14"/>
      <c r="C40" s="14"/>
      <c r="D40" s="14"/>
    </row>
    <row r="41" spans="1:4" ht="26.25" x14ac:dyDescent="0.7">
      <c r="A41" s="14"/>
      <c r="B41" s="14"/>
      <c r="C41" s="14"/>
      <c r="D41" s="14"/>
    </row>
    <row r="42" spans="1:4" ht="26.25" x14ac:dyDescent="0.7">
      <c r="A42" s="14"/>
      <c r="B42" s="14"/>
      <c r="C42" s="14"/>
      <c r="D42" s="14"/>
    </row>
    <row r="43" spans="1:4" ht="26.25" x14ac:dyDescent="0.7">
      <c r="A43" s="14"/>
      <c r="B43" s="14"/>
      <c r="C43" s="14"/>
      <c r="D43" s="14"/>
    </row>
    <row r="44" spans="1:4" ht="26.25" x14ac:dyDescent="0.7">
      <c r="A44" s="14"/>
      <c r="B44" s="14"/>
      <c r="C44" s="14"/>
      <c r="D44" s="14"/>
    </row>
    <row r="45" spans="1:4" ht="26.25" x14ac:dyDescent="0.7">
      <c r="A45" s="14"/>
      <c r="B45" s="14"/>
      <c r="C45" s="14"/>
      <c r="D45" s="14"/>
    </row>
    <row r="46" spans="1:4" ht="26.25" x14ac:dyDescent="0.7">
      <c r="A46" s="14"/>
      <c r="B46" s="14"/>
      <c r="C46" s="14"/>
      <c r="D46" s="14"/>
    </row>
    <row r="47" spans="1:4" ht="26.25" x14ac:dyDescent="0.7">
      <c r="A47" s="14"/>
      <c r="B47" s="14"/>
      <c r="C47" s="14"/>
      <c r="D47" s="14"/>
    </row>
    <row r="48" spans="1:4" ht="26.25" x14ac:dyDescent="0.7">
      <c r="A48" s="14"/>
      <c r="B48" s="14"/>
      <c r="C48" s="14"/>
      <c r="D48" s="14"/>
    </row>
    <row r="49" spans="1:4" ht="26.25" x14ac:dyDescent="0.7">
      <c r="A49" s="14"/>
      <c r="B49" s="14"/>
      <c r="C49" s="14"/>
      <c r="D49" s="14"/>
    </row>
    <row r="50" spans="1:4" ht="26.25" x14ac:dyDescent="0.7">
      <c r="A50" s="14"/>
      <c r="B50" s="14"/>
      <c r="C50" s="14"/>
      <c r="D50" s="14"/>
    </row>
    <row r="51" spans="1:4" ht="26.25" x14ac:dyDescent="0.7">
      <c r="A51" s="14"/>
      <c r="B51" s="14"/>
      <c r="C51" s="14"/>
      <c r="D51" s="14"/>
    </row>
    <row r="52" spans="1:4" ht="26.25" x14ac:dyDescent="0.7">
      <c r="A52" s="14"/>
      <c r="B52" s="14"/>
      <c r="C52" s="14"/>
      <c r="D52" s="14"/>
    </row>
    <row r="53" spans="1:4" ht="26.25" x14ac:dyDescent="0.7">
      <c r="A53"/>
      <c r="B53"/>
      <c r="C53"/>
      <c r="D53"/>
    </row>
    <row r="54" spans="1:4" ht="24.95" customHeight="1" x14ac:dyDescent="0.7">
      <c r="A54"/>
      <c r="B54"/>
      <c r="C54"/>
      <c r="D54"/>
    </row>
    <row r="55" spans="1:4" ht="24.95" customHeight="1" x14ac:dyDescent="0.7">
      <c r="A55"/>
      <c r="B55"/>
      <c r="C55"/>
      <c r="D55"/>
    </row>
    <row r="56" spans="1:4" ht="24.95" customHeight="1" x14ac:dyDescent="0.7">
      <c r="A56"/>
      <c r="B56"/>
      <c r="C56"/>
      <c r="D56"/>
    </row>
    <row r="57" spans="1:4" ht="24.95" customHeight="1" x14ac:dyDescent="0.7">
      <c r="A57"/>
      <c r="B57"/>
      <c r="C57"/>
      <c r="D57"/>
    </row>
    <row r="58" spans="1:4" ht="24.95" customHeight="1" x14ac:dyDescent="0.7">
      <c r="A58"/>
      <c r="B58"/>
      <c r="C58"/>
      <c r="D58"/>
    </row>
    <row r="59" spans="1:4" ht="24.95" customHeight="1" x14ac:dyDescent="0.7">
      <c r="A59"/>
      <c r="B59"/>
      <c r="C59"/>
      <c r="D59"/>
    </row>
    <row r="60" spans="1:4" ht="24.95" customHeight="1" x14ac:dyDescent="0.7">
      <c r="A60"/>
      <c r="B60"/>
      <c r="C60"/>
      <c r="D60"/>
    </row>
  </sheetData>
  <mergeCells count="62">
    <mergeCell ref="A4:B4"/>
    <mergeCell ref="C4:D4"/>
    <mergeCell ref="A1:D1"/>
    <mergeCell ref="A2:B2"/>
    <mergeCell ref="C2:D2"/>
    <mergeCell ref="A3:B3"/>
    <mergeCell ref="C3:D3"/>
    <mergeCell ref="A5:B5"/>
    <mergeCell ref="C5:D5"/>
    <mergeCell ref="A6:B6"/>
    <mergeCell ref="C6:D6"/>
    <mergeCell ref="A7:B7"/>
    <mergeCell ref="C7:D7"/>
    <mergeCell ref="A8:B8"/>
    <mergeCell ref="C8:D8"/>
    <mergeCell ref="A9:B9"/>
    <mergeCell ref="C9:D9"/>
    <mergeCell ref="A10:B10"/>
    <mergeCell ref="C10:D10"/>
    <mergeCell ref="A11:B11"/>
    <mergeCell ref="C11:D11"/>
    <mergeCell ref="A12:B12"/>
    <mergeCell ref="C12:D12"/>
    <mergeCell ref="A13:B13"/>
    <mergeCell ref="C13:D13"/>
    <mergeCell ref="A14:B14"/>
    <mergeCell ref="C14:D14"/>
    <mergeCell ref="A15:B15"/>
    <mergeCell ref="C15:D15"/>
    <mergeCell ref="A16:B16"/>
    <mergeCell ref="C16:D16"/>
    <mergeCell ref="A17:B17"/>
    <mergeCell ref="C17:D17"/>
    <mergeCell ref="A18:B18"/>
    <mergeCell ref="C18:D18"/>
    <mergeCell ref="A19:B19"/>
    <mergeCell ref="C19:D19"/>
    <mergeCell ref="A20:B20"/>
    <mergeCell ref="C20:D20"/>
    <mergeCell ref="A21:B21"/>
    <mergeCell ref="C21:D21"/>
    <mergeCell ref="A22:B22"/>
    <mergeCell ref="C22:D22"/>
    <mergeCell ref="A23:B23"/>
    <mergeCell ref="C23:D23"/>
    <mergeCell ref="A24:B24"/>
    <mergeCell ref="C24:D24"/>
    <mergeCell ref="A25:B25"/>
    <mergeCell ref="C25:D25"/>
    <mergeCell ref="A26:B26"/>
    <mergeCell ref="C26:D26"/>
    <mergeCell ref="A27:B27"/>
    <mergeCell ref="C27:D27"/>
    <mergeCell ref="A28:B28"/>
    <mergeCell ref="C28:D28"/>
    <mergeCell ref="A40:D52"/>
    <mergeCell ref="A29:B29"/>
    <mergeCell ref="C29:D29"/>
    <mergeCell ref="A30:B30"/>
    <mergeCell ref="C30:D30"/>
    <mergeCell ref="A31:B31"/>
    <mergeCell ref="C31:D31"/>
  </mergeCells>
  <dataValidations count="1">
    <dataValidation type="date" allowBlank="1" showInputMessage="1" showErrorMessage="1" sqref="C12:D14">
      <formula1>43466</formula1>
      <formula2>49310</formula2>
    </dataValidation>
  </dataValidations>
  <printOptions horizontalCentered="1"/>
  <pageMargins left="0.39370078740157477" right="0.39370078740157477" top="0.39370078740157477" bottom="0.59055118110236215" header="0" footer="0"/>
  <pageSetup paperSize="9" scale="69" orientation="portrait" r:id="rId1"/>
  <drawing r:id="rId2"/>
  <legacyDrawing r:id="rId3"/>
  <controls>
    <mc:AlternateContent xmlns:mc="http://schemas.openxmlformats.org/markup-compatibility/2006">
      <mc:Choice Requires="x14">
        <control shapeId="11266" r:id="rId4" name="ScrollBar1">
          <controlPr autoLine="0" linkedCell="C15" r:id="rId5">
            <anchor moveWithCells="1">
              <from>
                <xdr:col>3</xdr:col>
                <xdr:colOff>409575</xdr:colOff>
                <xdr:row>13</xdr:row>
                <xdr:rowOff>219075</xdr:rowOff>
              </from>
              <to>
                <xdr:col>3</xdr:col>
                <xdr:colOff>2295525</xdr:colOff>
                <xdr:row>14</xdr:row>
                <xdr:rowOff>219075</xdr:rowOff>
              </to>
            </anchor>
          </controlPr>
        </control>
      </mc:Choice>
      <mc:Fallback>
        <control shapeId="11266" r:id="rId4" name="ScrollBar1"/>
      </mc:Fallback>
    </mc:AlternateContent>
    <mc:AlternateContent xmlns:mc="http://schemas.openxmlformats.org/markup-compatibility/2006">
      <mc:Choice Requires="x14">
        <control shapeId="11267" r:id="rId6" name="ScrollBar2">
          <controlPr autoLine="0" r:id="rId5">
            <anchor moveWithCells="1">
              <from>
                <xdr:col>3</xdr:col>
                <xdr:colOff>438150</xdr:colOff>
                <xdr:row>15</xdr:row>
                <xdr:rowOff>9525</xdr:rowOff>
              </from>
              <to>
                <xdr:col>3</xdr:col>
                <xdr:colOff>2324100</xdr:colOff>
                <xdr:row>16</xdr:row>
                <xdr:rowOff>9525</xdr:rowOff>
              </to>
            </anchor>
          </controlPr>
        </control>
      </mc:Choice>
      <mc:Fallback>
        <control shapeId="11267" r:id="rId6" name="ScrollBar2"/>
      </mc:Fallback>
    </mc:AlternateContent>
    <mc:AlternateContent xmlns:mc="http://schemas.openxmlformats.org/markup-compatibility/2006">
      <mc:Choice Requires="x14">
        <control shapeId="11268" r:id="rId7" name="ScrollBar3">
          <controlPr autoLine="0" r:id="rId5">
            <anchor moveWithCells="1">
              <from>
                <xdr:col>3</xdr:col>
                <xdr:colOff>438150</xdr:colOff>
                <xdr:row>26</xdr:row>
                <xdr:rowOff>0</xdr:rowOff>
              </from>
              <to>
                <xdr:col>3</xdr:col>
                <xdr:colOff>2324100</xdr:colOff>
                <xdr:row>27</xdr:row>
                <xdr:rowOff>0</xdr:rowOff>
              </to>
            </anchor>
          </controlPr>
        </control>
      </mc:Choice>
      <mc:Fallback>
        <control shapeId="11268" r:id="rId7" name="ScrollBar3"/>
      </mc:Fallback>
    </mc:AlternateContent>
    <mc:AlternateContent xmlns:mc="http://schemas.openxmlformats.org/markup-compatibility/2006">
      <mc:Choice Requires="x14">
        <control shapeId="11269" r:id="rId8" name="ScrollBar4">
          <controlPr autoLine="0" r:id="rId9">
            <anchor moveWithCells="1">
              <from>
                <xdr:col>3</xdr:col>
                <xdr:colOff>447675</xdr:colOff>
                <xdr:row>27</xdr:row>
                <xdr:rowOff>19050</xdr:rowOff>
              </from>
              <to>
                <xdr:col>3</xdr:col>
                <xdr:colOff>2333625</xdr:colOff>
                <xdr:row>28</xdr:row>
                <xdr:rowOff>19050</xdr:rowOff>
              </to>
            </anchor>
          </controlPr>
        </control>
      </mc:Choice>
      <mc:Fallback>
        <control shapeId="11269" r:id="rId8" name="ScrollBar4"/>
      </mc:Fallback>
    </mc:AlternateContent>
    <mc:AlternateContent xmlns:mc="http://schemas.openxmlformats.org/markup-compatibility/2006">
      <mc:Choice Requires="x14">
        <control shapeId="11270" r:id="rId10" name="ScrollBar5">
          <controlPr autoLine="0" r:id="rId9">
            <anchor moveWithCells="1">
              <from>
                <xdr:col>3</xdr:col>
                <xdr:colOff>438150</xdr:colOff>
                <xdr:row>28</xdr:row>
                <xdr:rowOff>228600</xdr:rowOff>
              </from>
              <to>
                <xdr:col>3</xdr:col>
                <xdr:colOff>2324100</xdr:colOff>
                <xdr:row>29</xdr:row>
                <xdr:rowOff>228600</xdr:rowOff>
              </to>
            </anchor>
          </controlPr>
        </control>
      </mc:Choice>
      <mc:Fallback>
        <control shapeId="11270" r:id="rId10" name="ScrollBar5"/>
      </mc:Fallback>
    </mc:AlternateContent>
    <mc:AlternateContent xmlns:mc="http://schemas.openxmlformats.org/markup-compatibility/2006">
      <mc:Choice Requires="x14">
        <control shapeId="11271" r:id="rId11" name="ScrollBar6">
          <controlPr autoLine="0" r:id="rId9">
            <anchor moveWithCells="1">
              <from>
                <xdr:col>3</xdr:col>
                <xdr:colOff>428625</xdr:colOff>
                <xdr:row>30</xdr:row>
                <xdr:rowOff>19050</xdr:rowOff>
              </from>
              <to>
                <xdr:col>3</xdr:col>
                <xdr:colOff>2314575</xdr:colOff>
                <xdr:row>31</xdr:row>
                <xdr:rowOff>19050</xdr:rowOff>
              </to>
            </anchor>
          </controlPr>
        </control>
      </mc:Choice>
      <mc:Fallback>
        <control shapeId="11271" r:id="rId11" name="ScrollBar6"/>
      </mc:Fallback>
    </mc:AlternateContent>
    <mc:AlternateContent xmlns:mc="http://schemas.openxmlformats.org/markup-compatibility/2006">
      <mc:Choice Requires="x14">
        <control shapeId="11265" r:id="rId12" name="Button 1">
          <controlPr defaultSize="0" print="0" autoFill="0" autoPict="0" macro="[0]!GenerateHindiBillNotes_PerfectBulleted">
            <anchor moveWithCells="1" sizeWithCells="1">
              <from>
                <xdr:col>4</xdr:col>
                <xdr:colOff>38100</xdr:colOff>
                <xdr:row>35</xdr:row>
                <xdr:rowOff>352425</xdr:rowOff>
              </from>
              <to>
                <xdr:col>5</xdr:col>
                <xdr:colOff>19050</xdr:colOff>
                <xdr:row>36</xdr:row>
                <xdr:rowOff>342900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D60"/>
  <sheetViews>
    <sheetView tabSelected="1" view="pageBreakPreview" topLeftCell="A28" zoomScaleNormal="100" zoomScaleSheetLayoutView="100" workbookViewId="0">
      <selection activeCell="G40" sqref="G40"/>
    </sheetView>
  </sheetViews>
  <sheetFormatPr defaultColWidth="9.140625" defaultRowHeight="24.95" customHeight="1" x14ac:dyDescent="0.7"/>
  <cols>
    <col min="1" max="1" width="14.42578125" style="11" bestFit="1" customWidth="1"/>
    <col min="2" max="2" width="35.7109375" style="12" customWidth="1"/>
    <col min="3" max="3" width="35.7109375" style="1" customWidth="1"/>
    <col min="4" max="4" width="50.7109375" style="12" customWidth="1"/>
    <col min="5" max="5" width="9.140625" style="1" customWidth="1"/>
    <col min="6" max="16384" width="9.140625" style="1"/>
  </cols>
  <sheetData>
    <row r="1" spans="1:4" ht="23.1" customHeight="1" x14ac:dyDescent="0.7">
      <c r="A1" s="35" t="s">
        <v>81</v>
      </c>
      <c r="B1" s="36"/>
      <c r="C1" s="37"/>
      <c r="D1" s="36"/>
    </row>
    <row r="2" spans="1:4" s="2" customFormat="1" ht="18.95" customHeight="1" x14ac:dyDescent="0.55000000000000004">
      <c r="A2" s="27" t="s">
        <v>25</v>
      </c>
      <c r="B2" s="28"/>
      <c r="C2" s="26" t="s">
        <v>0</v>
      </c>
      <c r="D2" s="22"/>
    </row>
    <row r="3" spans="1:4" s="2" customFormat="1" ht="18.95" customHeight="1" x14ac:dyDescent="0.55000000000000004">
      <c r="A3" s="27" t="s">
        <v>26</v>
      </c>
      <c r="B3" s="28"/>
      <c r="C3" s="26" t="s">
        <v>43</v>
      </c>
      <c r="D3" s="22"/>
    </row>
    <row r="4" spans="1:4" s="2" customFormat="1" ht="18.95" customHeight="1" x14ac:dyDescent="0.55000000000000004">
      <c r="A4" s="27" t="s">
        <v>27</v>
      </c>
      <c r="B4" s="28"/>
      <c r="C4" s="26" t="s">
        <v>42</v>
      </c>
      <c r="D4" s="22"/>
    </row>
    <row r="5" spans="1:4" s="2" customFormat="1" ht="18.95" customHeight="1" x14ac:dyDescent="0.55000000000000004">
      <c r="A5" s="27" t="s">
        <v>28</v>
      </c>
      <c r="B5" s="28"/>
      <c r="C5" s="26" t="s">
        <v>42</v>
      </c>
      <c r="D5" s="22"/>
    </row>
    <row r="6" spans="1:4" s="2" customFormat="1" ht="18.95" customHeight="1" x14ac:dyDescent="0.55000000000000004">
      <c r="A6" s="27" t="s">
        <v>29</v>
      </c>
      <c r="B6" s="28"/>
      <c r="C6" s="26" t="s">
        <v>46</v>
      </c>
      <c r="D6" s="22"/>
    </row>
    <row r="7" spans="1:4" s="2" customFormat="1" ht="18.95" customHeight="1" x14ac:dyDescent="0.55000000000000004">
      <c r="A7" s="27" t="s">
        <v>30</v>
      </c>
      <c r="B7" s="28"/>
      <c r="C7" s="26" t="s">
        <v>45</v>
      </c>
      <c r="D7" s="22"/>
    </row>
    <row r="8" spans="1:4" s="2" customFormat="1" ht="36.75" customHeight="1" x14ac:dyDescent="0.55000000000000004">
      <c r="A8" s="27" t="s">
        <v>31</v>
      </c>
      <c r="B8" s="28"/>
      <c r="C8" s="26" t="s">
        <v>44</v>
      </c>
      <c r="D8" s="34"/>
    </row>
    <row r="9" spans="1:4" s="2" customFormat="1" ht="18.95" customHeight="1" x14ac:dyDescent="0.55000000000000004">
      <c r="A9" s="27" t="s">
        <v>32</v>
      </c>
      <c r="B9" s="28"/>
      <c r="C9" s="26" t="s">
        <v>47</v>
      </c>
      <c r="D9" s="22"/>
    </row>
    <row r="10" spans="1:4" s="2" customFormat="1" ht="18.95" customHeight="1" x14ac:dyDescent="0.55000000000000004">
      <c r="A10" s="27" t="s">
        <v>33</v>
      </c>
      <c r="B10" s="28"/>
      <c r="C10" s="26" t="s">
        <v>1</v>
      </c>
      <c r="D10" s="22"/>
    </row>
    <row r="11" spans="1:4" s="2" customFormat="1" ht="18.95" customHeight="1" x14ac:dyDescent="0.55000000000000004">
      <c r="A11" s="27" t="s">
        <v>34</v>
      </c>
      <c r="B11" s="28"/>
      <c r="C11" s="29" t="s">
        <v>22</v>
      </c>
      <c r="D11" s="29"/>
    </row>
    <row r="12" spans="1:4" s="2" customFormat="1" ht="18.95" customHeight="1" x14ac:dyDescent="0.55000000000000004">
      <c r="A12" s="27" t="s">
        <v>35</v>
      </c>
      <c r="B12" s="28"/>
      <c r="C12" s="25">
        <v>45689</v>
      </c>
      <c r="D12" s="22"/>
    </row>
    <row r="13" spans="1:4" s="2" customFormat="1" ht="18.95" customHeight="1" x14ac:dyDescent="0.55000000000000004">
      <c r="A13" s="27" t="s">
        <v>36</v>
      </c>
      <c r="B13" s="28"/>
      <c r="C13" s="25">
        <v>46053</v>
      </c>
      <c r="D13" s="22"/>
    </row>
    <row r="14" spans="1:4" s="2" customFormat="1" ht="18.95" customHeight="1" x14ac:dyDescent="0.55000000000000004">
      <c r="A14" s="27" t="s">
        <v>37</v>
      </c>
      <c r="B14" s="28"/>
      <c r="C14" s="25">
        <v>45992</v>
      </c>
      <c r="D14" s="22"/>
    </row>
    <row r="15" spans="1:4" s="2" customFormat="1" ht="18.95" customHeight="1" x14ac:dyDescent="0.55000000000000004">
      <c r="A15" s="32" t="s">
        <v>80</v>
      </c>
      <c r="B15" s="33"/>
      <c r="C15" s="21" t="s">
        <v>24</v>
      </c>
      <c r="D15" s="22"/>
    </row>
    <row r="16" spans="1:4" s="2" customFormat="1" ht="18.95" customHeight="1" x14ac:dyDescent="0.55000000000000004">
      <c r="A16" s="27" t="s">
        <v>38</v>
      </c>
      <c r="B16" s="28"/>
      <c r="C16" s="21" t="s">
        <v>24</v>
      </c>
      <c r="D16" s="22"/>
    </row>
    <row r="17" spans="1:4" s="2" customFormat="1" ht="18.95" customHeight="1" x14ac:dyDescent="0.55000000000000004">
      <c r="A17" s="27" t="s">
        <v>39</v>
      </c>
      <c r="B17" s="28"/>
      <c r="C17" s="26">
        <v>125525</v>
      </c>
      <c r="D17" s="22"/>
    </row>
    <row r="18" spans="1:4" s="2" customFormat="1" ht="18.95" customHeight="1" x14ac:dyDescent="0.55000000000000004">
      <c r="A18" s="27" t="s">
        <v>83</v>
      </c>
      <c r="B18" s="28"/>
      <c r="C18" s="26">
        <v>12356</v>
      </c>
      <c r="D18" s="22"/>
    </row>
    <row r="19" spans="1:4" s="2" customFormat="1" ht="18.95" customHeight="1" x14ac:dyDescent="0.55000000000000004">
      <c r="A19" s="27" t="s">
        <v>82</v>
      </c>
      <c r="B19" s="28"/>
      <c r="C19" s="30">
        <v>85256</v>
      </c>
      <c r="D19" s="31"/>
    </row>
    <row r="20" spans="1:4" s="2" customFormat="1" ht="18.95" customHeight="1" x14ac:dyDescent="0.55000000000000004">
      <c r="A20" s="27" t="s">
        <v>84</v>
      </c>
      <c r="B20" s="28"/>
      <c r="C20" s="23">
        <f>C18+C19</f>
        <v>97612</v>
      </c>
      <c r="D20" s="24"/>
    </row>
    <row r="21" spans="1:4" s="2" customFormat="1" ht="18.95" customHeight="1" x14ac:dyDescent="0.55000000000000004">
      <c r="A21" s="27" t="s">
        <v>40</v>
      </c>
      <c r="B21" s="28"/>
      <c r="C21" s="26">
        <f>C17-C20</f>
        <v>27913</v>
      </c>
      <c r="D21" s="22"/>
    </row>
    <row r="22" spans="1:4" s="2" customFormat="1" ht="18.95" customHeight="1" x14ac:dyDescent="0.55000000000000004">
      <c r="A22" s="23" t="s">
        <v>18</v>
      </c>
      <c r="B22" s="24"/>
      <c r="C22" s="29" t="s">
        <v>23</v>
      </c>
      <c r="D22" s="29"/>
    </row>
    <row r="23" spans="1:4" s="2" customFormat="1" ht="18.95" customHeight="1" x14ac:dyDescent="0.55000000000000004">
      <c r="A23" s="23" t="s">
        <v>41</v>
      </c>
      <c r="B23" s="24"/>
      <c r="C23" s="25">
        <v>45992</v>
      </c>
      <c r="D23" s="22"/>
    </row>
    <row r="24" spans="1:4" s="2" customFormat="1" ht="18.95" customHeight="1" x14ac:dyDescent="0.55000000000000004">
      <c r="A24" s="23" t="s">
        <v>19</v>
      </c>
      <c r="B24" s="24"/>
      <c r="C24" s="26"/>
      <c r="D24" s="22"/>
    </row>
    <row r="25" spans="1:4" s="2" customFormat="1" ht="18.95" customHeight="1" x14ac:dyDescent="0.55000000000000004">
      <c r="A25" s="23" t="s">
        <v>20</v>
      </c>
      <c r="B25" s="24"/>
      <c r="C25" s="21" t="s">
        <v>2</v>
      </c>
      <c r="D25" s="22"/>
    </row>
    <row r="26" spans="1:4" s="2" customFormat="1" ht="18.95" customHeight="1" x14ac:dyDescent="0.55000000000000004">
      <c r="A26" s="23" t="s">
        <v>21</v>
      </c>
      <c r="B26" s="24"/>
      <c r="C26" s="21" t="s">
        <v>2</v>
      </c>
      <c r="D26" s="22"/>
    </row>
    <row r="27" spans="1:4" s="2" customFormat="1" ht="18.95" customHeight="1" x14ac:dyDescent="0.55000000000000004">
      <c r="A27" s="23" t="s">
        <v>3</v>
      </c>
      <c r="B27" s="24"/>
      <c r="C27" s="21" t="s">
        <v>4</v>
      </c>
      <c r="D27" s="22"/>
    </row>
    <row r="28" spans="1:4" s="2" customFormat="1" ht="18.95" customHeight="1" x14ac:dyDescent="0.55000000000000004">
      <c r="A28" s="23" t="s">
        <v>5</v>
      </c>
      <c r="B28" s="24"/>
      <c r="C28" s="21" t="s">
        <v>24</v>
      </c>
      <c r="D28" s="22"/>
    </row>
    <row r="29" spans="1:4" s="2" customFormat="1" ht="18.95" customHeight="1" x14ac:dyDescent="0.55000000000000004">
      <c r="A29" s="15" t="s">
        <v>6</v>
      </c>
      <c r="B29" s="16"/>
      <c r="C29" s="17">
        <v>0</v>
      </c>
      <c r="D29" s="18"/>
    </row>
    <row r="30" spans="1:4" s="2" customFormat="1" ht="18.95" customHeight="1" x14ac:dyDescent="0.55000000000000004">
      <c r="A30" s="19" t="s">
        <v>7</v>
      </c>
      <c r="B30" s="20"/>
      <c r="C30" s="21" t="s">
        <v>24</v>
      </c>
      <c r="D30" s="22"/>
    </row>
    <row r="31" spans="1:4" s="2" customFormat="1" ht="18.95" customHeight="1" x14ac:dyDescent="0.55000000000000004">
      <c r="A31" s="19" t="s">
        <v>8</v>
      </c>
      <c r="B31" s="20"/>
      <c r="C31" s="21" t="s">
        <v>24</v>
      </c>
      <c r="D31" s="21"/>
    </row>
    <row r="32" spans="1:4" s="2" customFormat="1" ht="18.95" customHeight="1" x14ac:dyDescent="0.55000000000000004">
      <c r="A32" s="3" t="s">
        <v>9</v>
      </c>
      <c r="B32" s="4" t="s">
        <v>11</v>
      </c>
      <c r="C32" s="5"/>
      <c r="D32" s="5"/>
    </row>
    <row r="33" spans="1:4" s="2" customFormat="1" ht="18.95" customHeight="1" x14ac:dyDescent="0.55000000000000004">
      <c r="A33" s="6" t="s">
        <v>12</v>
      </c>
      <c r="B33" s="7">
        <f>ROUND($C$19*0.1,0)</f>
        <v>8526</v>
      </c>
      <c r="C33" s="8"/>
      <c r="D33" s="9"/>
    </row>
    <row r="34" spans="1:4" s="2" customFormat="1" ht="18.95" customHeight="1" x14ac:dyDescent="0.55000000000000004">
      <c r="A34" s="6" t="s">
        <v>13</v>
      </c>
      <c r="B34" s="7">
        <f>ROUND($C$19*0.02,0)</f>
        <v>1705</v>
      </c>
      <c r="C34" s="8"/>
      <c r="D34" s="9"/>
    </row>
    <row r="35" spans="1:4" s="2" customFormat="1" ht="18.95" customHeight="1" x14ac:dyDescent="0.55000000000000004">
      <c r="A35" s="6" t="s">
        <v>14</v>
      </c>
      <c r="B35" s="10">
        <f>IF(MOD(ROUND($C$19*0.02,0),2)=0,
     ROUND($C$19*0.02,0),
     ROUND($C$19*0.02,0)+1)</f>
        <v>1706</v>
      </c>
      <c r="C35" s="8"/>
      <c r="D35" s="9"/>
    </row>
    <row r="36" spans="1:4" s="2" customFormat="1" ht="18.95" customHeight="1" x14ac:dyDescent="0.55000000000000004">
      <c r="A36" s="6" t="s">
        <v>15</v>
      </c>
      <c r="B36" s="7">
        <f>ROUND($C$19*0.01,0)</f>
        <v>853</v>
      </c>
      <c r="C36" s="8"/>
      <c r="D36" s="9"/>
    </row>
    <row r="37" spans="1:4" s="2" customFormat="1" ht="18.95" customHeight="1" x14ac:dyDescent="0.55000000000000004">
      <c r="A37" s="6" t="s">
        <v>16</v>
      </c>
      <c r="B37" s="7">
        <v>0</v>
      </c>
      <c r="C37" s="8"/>
      <c r="D37" s="9"/>
    </row>
    <row r="38" spans="1:4" s="2" customFormat="1" ht="18.95" customHeight="1" x14ac:dyDescent="0.55000000000000004">
      <c r="A38" s="6" t="s">
        <v>17</v>
      </c>
      <c r="B38" s="7">
        <f>C19-SUM(B33:B37)</f>
        <v>72466</v>
      </c>
      <c r="C38" s="8"/>
      <c r="D38" s="9"/>
    </row>
    <row r="39" spans="1:4" s="2" customFormat="1" ht="18.95" customHeight="1" x14ac:dyDescent="0.55000000000000004">
      <c r="A39" s="6" t="s">
        <v>10</v>
      </c>
      <c r="B39" s="7">
        <f>SUM(B33:C38)</f>
        <v>85256</v>
      </c>
      <c r="C39" s="8"/>
      <c r="D39" s="9"/>
    </row>
    <row r="40" spans="1:4" ht="26.25" x14ac:dyDescent="0.7">
      <c r="A40" s="13" t="s">
        <v>85</v>
      </c>
      <c r="B40" s="14"/>
      <c r="C40" s="14"/>
      <c r="D40" s="14"/>
    </row>
    <row r="41" spans="1:4" ht="26.25" x14ac:dyDescent="0.7">
      <c r="A41" s="14"/>
      <c r="B41" s="14"/>
      <c r="C41" s="14"/>
      <c r="D41" s="14"/>
    </row>
    <row r="42" spans="1:4" ht="26.25" x14ac:dyDescent="0.7">
      <c r="A42" s="14"/>
      <c r="B42" s="14"/>
      <c r="C42" s="14"/>
      <c r="D42" s="14"/>
    </row>
    <row r="43" spans="1:4" ht="26.25" x14ac:dyDescent="0.7">
      <c r="A43" s="14"/>
      <c r="B43" s="14"/>
      <c r="C43" s="14"/>
      <c r="D43" s="14"/>
    </row>
    <row r="44" spans="1:4" ht="26.25" x14ac:dyDescent="0.7">
      <c r="A44" s="14"/>
      <c r="B44" s="14"/>
      <c r="C44" s="14"/>
      <c r="D44" s="14"/>
    </row>
    <row r="45" spans="1:4" ht="26.25" x14ac:dyDescent="0.7">
      <c r="A45" s="14"/>
      <c r="B45" s="14"/>
      <c r="C45" s="14"/>
      <c r="D45" s="14"/>
    </row>
    <row r="46" spans="1:4" ht="26.25" x14ac:dyDescent="0.7">
      <c r="A46" s="14"/>
      <c r="B46" s="14"/>
      <c r="C46" s="14"/>
      <c r="D46" s="14"/>
    </row>
    <row r="47" spans="1:4" ht="26.25" x14ac:dyDescent="0.7">
      <c r="A47" s="14"/>
      <c r="B47" s="14"/>
      <c r="C47" s="14"/>
      <c r="D47" s="14"/>
    </row>
    <row r="48" spans="1:4" ht="26.25" x14ac:dyDescent="0.7">
      <c r="A48" s="14"/>
      <c r="B48" s="14"/>
      <c r="C48" s="14"/>
      <c r="D48" s="14"/>
    </row>
    <row r="49" spans="1:4" ht="20.100000000000001" customHeight="1" x14ac:dyDescent="0.7">
      <c r="A49"/>
      <c r="B49"/>
      <c r="C49"/>
      <c r="D49"/>
    </row>
    <row r="50" spans="1:4" ht="26.25" x14ac:dyDescent="0.7">
      <c r="A50"/>
      <c r="B50"/>
      <c r="C50"/>
      <c r="D50"/>
    </row>
    <row r="51" spans="1:4" ht="26.25" x14ac:dyDescent="0.7">
      <c r="A51"/>
      <c r="B51"/>
      <c r="C51"/>
      <c r="D51"/>
    </row>
    <row r="52" spans="1:4" ht="20.100000000000001" customHeight="1" x14ac:dyDescent="0.7">
      <c r="A52"/>
      <c r="B52"/>
      <c r="C52"/>
      <c r="D52"/>
    </row>
    <row r="53" spans="1:4" ht="26.25" x14ac:dyDescent="0.7">
      <c r="A53"/>
      <c r="B53"/>
      <c r="C53"/>
      <c r="D53"/>
    </row>
    <row r="54" spans="1:4" ht="24.95" customHeight="1" x14ac:dyDescent="0.7">
      <c r="A54"/>
      <c r="B54"/>
      <c r="C54"/>
      <c r="D54"/>
    </row>
    <row r="55" spans="1:4" ht="24.95" customHeight="1" x14ac:dyDescent="0.7">
      <c r="A55"/>
      <c r="B55"/>
      <c r="C55"/>
      <c r="D55"/>
    </row>
    <row r="56" spans="1:4" ht="24.95" customHeight="1" x14ac:dyDescent="0.7">
      <c r="A56"/>
      <c r="B56"/>
      <c r="C56"/>
      <c r="D56"/>
    </row>
    <row r="57" spans="1:4" ht="24.95" customHeight="1" x14ac:dyDescent="0.7">
      <c r="A57"/>
      <c r="B57"/>
      <c r="C57"/>
      <c r="D57"/>
    </row>
    <row r="58" spans="1:4" ht="24.95" customHeight="1" x14ac:dyDescent="0.7">
      <c r="A58"/>
      <c r="B58"/>
      <c r="C58"/>
      <c r="D58"/>
    </row>
    <row r="59" spans="1:4" ht="24.95" customHeight="1" x14ac:dyDescent="0.7">
      <c r="A59"/>
      <c r="B59"/>
      <c r="C59"/>
      <c r="D59"/>
    </row>
    <row r="60" spans="1:4" ht="24.95" customHeight="1" x14ac:dyDescent="0.7">
      <c r="A60"/>
      <c r="B60"/>
      <c r="C60"/>
      <c r="D60"/>
    </row>
  </sheetData>
  <mergeCells count="62">
    <mergeCell ref="A4:B4"/>
    <mergeCell ref="C4:D4"/>
    <mergeCell ref="A1:D1"/>
    <mergeCell ref="A2:B2"/>
    <mergeCell ref="C2:D2"/>
    <mergeCell ref="A3:B3"/>
    <mergeCell ref="C3:D3"/>
    <mergeCell ref="A5:B5"/>
    <mergeCell ref="C5:D5"/>
    <mergeCell ref="A6:B6"/>
    <mergeCell ref="C6:D6"/>
    <mergeCell ref="A7:B7"/>
    <mergeCell ref="C7:D7"/>
    <mergeCell ref="A8:B8"/>
    <mergeCell ref="C8:D8"/>
    <mergeCell ref="A9:B9"/>
    <mergeCell ref="C9:D9"/>
    <mergeCell ref="A10:B10"/>
    <mergeCell ref="C10:D10"/>
    <mergeCell ref="A11:B11"/>
    <mergeCell ref="C11:D11"/>
    <mergeCell ref="A12:B12"/>
    <mergeCell ref="C12:D12"/>
    <mergeCell ref="A13:B13"/>
    <mergeCell ref="C13:D13"/>
    <mergeCell ref="A14:B14"/>
    <mergeCell ref="C14:D14"/>
    <mergeCell ref="A15:B15"/>
    <mergeCell ref="C15:D15"/>
    <mergeCell ref="A16:B16"/>
    <mergeCell ref="C16:D16"/>
    <mergeCell ref="A17:B17"/>
    <mergeCell ref="C17:D17"/>
    <mergeCell ref="A18:B18"/>
    <mergeCell ref="C18:D18"/>
    <mergeCell ref="A19:B19"/>
    <mergeCell ref="C19:D19"/>
    <mergeCell ref="A20:B20"/>
    <mergeCell ref="C20:D20"/>
    <mergeCell ref="A21:B21"/>
    <mergeCell ref="C21:D21"/>
    <mergeCell ref="A22:B22"/>
    <mergeCell ref="C22:D22"/>
    <mergeCell ref="A23:B23"/>
    <mergeCell ref="C23:D23"/>
    <mergeCell ref="A24:B24"/>
    <mergeCell ref="C24:D24"/>
    <mergeCell ref="A25:B25"/>
    <mergeCell ref="C25:D25"/>
    <mergeCell ref="A26:B26"/>
    <mergeCell ref="C26:D26"/>
    <mergeCell ref="A27:B27"/>
    <mergeCell ref="C27:D27"/>
    <mergeCell ref="A28:B28"/>
    <mergeCell ref="C28:D28"/>
    <mergeCell ref="A40:D48"/>
    <mergeCell ref="A29:B29"/>
    <mergeCell ref="C29:D29"/>
    <mergeCell ref="A30:B30"/>
    <mergeCell ref="C30:D30"/>
    <mergeCell ref="A31:B31"/>
    <mergeCell ref="C31:D31"/>
  </mergeCells>
  <dataValidations count="1">
    <dataValidation type="date" allowBlank="1" showInputMessage="1" showErrorMessage="1" sqref="C12:D14">
      <formula1>43466</formula1>
      <formula2>49310</formula2>
    </dataValidation>
  </dataValidations>
  <printOptions horizontalCentered="1"/>
  <pageMargins left="0.39370078740157477" right="0.39370078740157477" top="0.39370078740157477" bottom="1.0039370078740157" header="0" footer="0"/>
  <pageSetup paperSize="9" scale="69" orientation="portrait" r:id="rId1"/>
  <drawing r:id="rId2"/>
  <legacyDrawing r:id="rId3"/>
  <controls>
    <mc:AlternateContent xmlns:mc="http://schemas.openxmlformats.org/markup-compatibility/2006">
      <mc:Choice Requires="x14">
        <control shapeId="10242" r:id="rId4" name="ScrollBar1">
          <controlPr autoLine="0" linkedCell="C15" r:id="rId5">
            <anchor moveWithCells="1">
              <from>
                <xdr:col>3</xdr:col>
                <xdr:colOff>409575</xdr:colOff>
                <xdr:row>13</xdr:row>
                <xdr:rowOff>219075</xdr:rowOff>
              </from>
              <to>
                <xdr:col>3</xdr:col>
                <xdr:colOff>2295525</xdr:colOff>
                <xdr:row>14</xdr:row>
                <xdr:rowOff>219075</xdr:rowOff>
              </to>
            </anchor>
          </controlPr>
        </control>
      </mc:Choice>
      <mc:Fallback>
        <control shapeId="10242" r:id="rId4" name="ScrollBar1"/>
      </mc:Fallback>
    </mc:AlternateContent>
    <mc:AlternateContent xmlns:mc="http://schemas.openxmlformats.org/markup-compatibility/2006">
      <mc:Choice Requires="x14">
        <control shapeId="10243" r:id="rId6" name="ScrollBar2">
          <controlPr autoLine="0" r:id="rId5">
            <anchor moveWithCells="1">
              <from>
                <xdr:col>3</xdr:col>
                <xdr:colOff>438150</xdr:colOff>
                <xdr:row>15</xdr:row>
                <xdr:rowOff>9525</xdr:rowOff>
              </from>
              <to>
                <xdr:col>3</xdr:col>
                <xdr:colOff>2324100</xdr:colOff>
                <xdr:row>16</xdr:row>
                <xdr:rowOff>9525</xdr:rowOff>
              </to>
            </anchor>
          </controlPr>
        </control>
      </mc:Choice>
      <mc:Fallback>
        <control shapeId="10243" r:id="rId6" name="ScrollBar2"/>
      </mc:Fallback>
    </mc:AlternateContent>
    <mc:AlternateContent xmlns:mc="http://schemas.openxmlformats.org/markup-compatibility/2006">
      <mc:Choice Requires="x14">
        <control shapeId="10244" r:id="rId7" name="ScrollBar3">
          <controlPr autoLine="0" r:id="rId8">
            <anchor moveWithCells="1">
              <from>
                <xdr:col>3</xdr:col>
                <xdr:colOff>438150</xdr:colOff>
                <xdr:row>26</xdr:row>
                <xdr:rowOff>0</xdr:rowOff>
              </from>
              <to>
                <xdr:col>3</xdr:col>
                <xdr:colOff>2324100</xdr:colOff>
                <xdr:row>27</xdr:row>
                <xdr:rowOff>0</xdr:rowOff>
              </to>
            </anchor>
          </controlPr>
        </control>
      </mc:Choice>
      <mc:Fallback>
        <control shapeId="10244" r:id="rId7" name="ScrollBar3"/>
      </mc:Fallback>
    </mc:AlternateContent>
    <mc:AlternateContent xmlns:mc="http://schemas.openxmlformats.org/markup-compatibility/2006">
      <mc:Choice Requires="x14">
        <control shapeId="10245" r:id="rId9" name="ScrollBar4">
          <controlPr autoLine="0" r:id="rId5">
            <anchor moveWithCells="1">
              <from>
                <xdr:col>3</xdr:col>
                <xdr:colOff>447675</xdr:colOff>
                <xdr:row>27</xdr:row>
                <xdr:rowOff>19050</xdr:rowOff>
              </from>
              <to>
                <xdr:col>3</xdr:col>
                <xdr:colOff>2333625</xdr:colOff>
                <xdr:row>28</xdr:row>
                <xdr:rowOff>19050</xdr:rowOff>
              </to>
            </anchor>
          </controlPr>
        </control>
      </mc:Choice>
      <mc:Fallback>
        <control shapeId="10245" r:id="rId9" name="ScrollBar4"/>
      </mc:Fallback>
    </mc:AlternateContent>
    <mc:AlternateContent xmlns:mc="http://schemas.openxmlformats.org/markup-compatibility/2006">
      <mc:Choice Requires="x14">
        <control shapeId="10246" r:id="rId10" name="ScrollBar5">
          <controlPr autoLine="0" r:id="rId5">
            <anchor moveWithCells="1">
              <from>
                <xdr:col>3</xdr:col>
                <xdr:colOff>438150</xdr:colOff>
                <xdr:row>28</xdr:row>
                <xdr:rowOff>228600</xdr:rowOff>
              </from>
              <to>
                <xdr:col>3</xdr:col>
                <xdr:colOff>2324100</xdr:colOff>
                <xdr:row>29</xdr:row>
                <xdr:rowOff>228600</xdr:rowOff>
              </to>
            </anchor>
          </controlPr>
        </control>
      </mc:Choice>
      <mc:Fallback>
        <control shapeId="10246" r:id="rId10" name="ScrollBar5"/>
      </mc:Fallback>
    </mc:AlternateContent>
    <mc:AlternateContent xmlns:mc="http://schemas.openxmlformats.org/markup-compatibility/2006">
      <mc:Choice Requires="x14">
        <control shapeId="10247" r:id="rId11" name="ScrollBar6">
          <controlPr autoLine="0" r:id="rId5">
            <anchor moveWithCells="1">
              <from>
                <xdr:col>3</xdr:col>
                <xdr:colOff>428625</xdr:colOff>
                <xdr:row>30</xdr:row>
                <xdr:rowOff>19050</xdr:rowOff>
              </from>
              <to>
                <xdr:col>3</xdr:col>
                <xdr:colOff>2314575</xdr:colOff>
                <xdr:row>31</xdr:row>
                <xdr:rowOff>19050</xdr:rowOff>
              </to>
            </anchor>
          </controlPr>
        </control>
      </mc:Choice>
      <mc:Fallback>
        <control shapeId="10247" r:id="rId11" name="ScrollBar6"/>
      </mc:Fallback>
    </mc:AlternateContent>
    <mc:AlternateContent xmlns:mc="http://schemas.openxmlformats.org/markup-compatibility/2006">
      <mc:Choice Requires="x14">
        <control shapeId="10241" r:id="rId12" name="Button 1">
          <controlPr defaultSize="0" print="0" autoFill="0" autoPict="0" macro="[0]!GenerateHindiBillNotes_PerfectBulleted">
            <anchor moveWithCells="1" sizeWithCells="1">
              <from>
                <xdr:col>4</xdr:col>
                <xdr:colOff>38100</xdr:colOff>
                <xdr:row>35</xdr:row>
                <xdr:rowOff>352425</xdr:rowOff>
              </from>
              <to>
                <xdr:col>5</xdr:col>
                <xdr:colOff>19050</xdr:colOff>
                <xdr:row>36</xdr:row>
                <xdr:rowOff>342900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30"/>
  <sheetViews>
    <sheetView topLeftCell="B1" workbookViewId="0">
      <selection activeCell="B30" sqref="B30"/>
    </sheetView>
  </sheetViews>
  <sheetFormatPr defaultRowHeight="15" x14ac:dyDescent="0.25"/>
  <cols>
    <col min="1" max="1" width="91.5703125" bestFit="1" customWidth="1"/>
    <col min="2" max="2" width="180.140625" bestFit="1" customWidth="1"/>
  </cols>
  <sheetData>
    <row r="1" spans="1:2" x14ac:dyDescent="0.25">
      <c r="A1" t="s">
        <v>48</v>
      </c>
      <c r="B1" t="s">
        <v>56</v>
      </c>
    </row>
    <row r="2" spans="1:2" x14ac:dyDescent="0.25">
      <c r="A2" t="s">
        <v>49</v>
      </c>
      <c r="B2" t="s">
        <v>76</v>
      </c>
    </row>
    <row r="3" spans="1:2" x14ac:dyDescent="0.25">
      <c r="A3" t="s">
        <v>50</v>
      </c>
      <c r="B3" t="s">
        <v>57</v>
      </c>
    </row>
    <row r="4" spans="1:2" x14ac:dyDescent="0.25">
      <c r="A4" t="s">
        <v>54</v>
      </c>
      <c r="B4" t="s">
        <v>79</v>
      </c>
    </row>
    <row r="5" spans="1:2" x14ac:dyDescent="0.25">
      <c r="A5" t="s">
        <v>51</v>
      </c>
      <c r="B5" t="s">
        <v>58</v>
      </c>
    </row>
    <row r="6" spans="1:2" x14ac:dyDescent="0.25">
      <c r="A6" t="s">
        <v>55</v>
      </c>
      <c r="B6" t="s">
        <v>59</v>
      </c>
    </row>
    <row r="7" spans="1:2" x14ac:dyDescent="0.25">
      <c r="A7" t="s">
        <v>52</v>
      </c>
      <c r="B7" t="s">
        <v>60</v>
      </c>
    </row>
    <row r="8" spans="1:2" x14ac:dyDescent="0.25">
      <c r="A8" t="s">
        <v>53</v>
      </c>
      <c r="B8" t="s">
        <v>61</v>
      </c>
    </row>
    <row r="9" spans="1:2" x14ac:dyDescent="0.25">
      <c r="B9" t="s">
        <v>62</v>
      </c>
    </row>
    <row r="10" spans="1:2" x14ac:dyDescent="0.25">
      <c r="B10" t="s">
        <v>78</v>
      </c>
    </row>
    <row r="11" spans="1:2" x14ac:dyDescent="0.25">
      <c r="B11" t="s">
        <v>63</v>
      </c>
    </row>
    <row r="12" spans="1:2" x14ac:dyDescent="0.25">
      <c r="B12" t="s">
        <v>64</v>
      </c>
    </row>
    <row r="13" spans="1:2" x14ac:dyDescent="0.25">
      <c r="B13" t="s">
        <v>65</v>
      </c>
    </row>
    <row r="14" spans="1:2" x14ac:dyDescent="0.25">
      <c r="B14" t="s">
        <v>66</v>
      </c>
    </row>
    <row r="15" spans="1:2" x14ac:dyDescent="0.25">
      <c r="B15" t="s">
        <v>67</v>
      </c>
    </row>
    <row r="16" spans="1:2" x14ac:dyDescent="0.25">
      <c r="B16" t="s">
        <v>68</v>
      </c>
    </row>
    <row r="17" spans="2:2" x14ac:dyDescent="0.25">
      <c r="B17" t="s">
        <v>69</v>
      </c>
    </row>
    <row r="18" spans="2:2" x14ac:dyDescent="0.25">
      <c r="B18" t="s">
        <v>70</v>
      </c>
    </row>
    <row r="19" spans="2:2" x14ac:dyDescent="0.25">
      <c r="B19" t="s">
        <v>71</v>
      </c>
    </row>
    <row r="20" spans="2:2" x14ac:dyDescent="0.25">
      <c r="B20" t="s">
        <v>72</v>
      </c>
    </row>
    <row r="21" spans="2:2" x14ac:dyDescent="0.25">
      <c r="B21" t="s">
        <v>73</v>
      </c>
    </row>
    <row r="22" spans="2:2" x14ac:dyDescent="0.25">
      <c r="B22" t="s">
        <v>74</v>
      </c>
    </row>
    <row r="23" spans="2:2" x14ac:dyDescent="0.25">
      <c r="B23" t="s">
        <v>75</v>
      </c>
    </row>
    <row r="30" spans="2:2" x14ac:dyDescent="0.25">
      <c r="B30" t="s">
        <v>77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BABULAL 26 OF 26-26</vt:lpstr>
      <vt:lpstr>VIKAS 22 OF 23-24</vt:lpstr>
      <vt:lpstr>HindiText</vt:lpstr>
      <vt:lpstr>'BABULAL 26 OF 26-26'!Print_Area</vt:lpstr>
      <vt:lpstr>'VIKAS 22 OF 23-24'!Print_Area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Rajkumar Singh Chauhan</dc:creator>
  <cp:lastModifiedBy>Rajkumar</cp:lastModifiedBy>
  <cp:lastPrinted>2025-12-28T06:39:51Z</cp:lastPrinted>
  <dcterms:created xsi:type="dcterms:W3CDTF">2025-02-24T06:05:45Z</dcterms:created>
  <dcterms:modified xsi:type="dcterms:W3CDTF">2026-02-23T04:17:58Z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{0B62E4EE-AB4B-4E7D-9721-A0379D5E94E9}</vt:lpwstr>
  </property>
</Properties>
</file>